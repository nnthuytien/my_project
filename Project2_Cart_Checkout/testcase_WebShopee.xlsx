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huy Tien\Documents\testcase\Project2_Cart_Checkout\"/>
    </mc:Choice>
  </mc:AlternateContent>
  <xr:revisionPtr revIDLastSave="0" documentId="8_{E66C097B-496E-43ED-8C96-86E4A21ADAEE}" xr6:coauthVersionLast="47" xr6:coauthVersionMax="47" xr10:uidLastSave="{00000000-0000-0000-0000-000000000000}"/>
  <bookViews>
    <workbookView xWindow="-120" yWindow="-120" windowWidth="20730" windowHeight="11280" xr2:uid="{45A69343-370B-4C84-9F39-E8274A5ED1E8}"/>
  </bookViews>
  <sheets>
    <sheet name="TC_AddToCart" sheetId="2" r:id="rId1"/>
    <sheet name="TC_Cart" sheetId="3" r:id="rId2"/>
    <sheet name="TC_CheckOut" sheetId="4" r:id="rId3"/>
  </sheets>
  <externalReferences>
    <externalReference r:id="rId4"/>
  </externalReferences>
  <definedNames>
    <definedName name="ACTION">#REF!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 i="2" l="1"/>
  <c r="B7" i="2"/>
  <c r="E7" i="3"/>
  <c r="B7" i="3"/>
  <c r="F7" i="4"/>
  <c r="C7" i="4"/>
  <c r="B7" i="4"/>
  <c r="A7" i="4"/>
  <c r="E7" i="4" l="1"/>
  <c r="C7" i="3"/>
  <c r="C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0" authorId="0" shapeId="0" xr:uid="{5C76108A-991A-4EFE-BD2F-6B78300BDB7F}">
      <text>
        <r>
          <rPr>
            <b/>
            <sz val="8"/>
            <color rgb="FF000000"/>
            <rFont val="Times New Roman"/>
            <family val="1"/>
          </rPr>
          <t xml:space="preserve">Pass
Fail
Untested
N/A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10" authorId="0" shapeId="0" xr:uid="{6E376605-8DFE-45F6-9527-F05F616A58E8}">
      <text>
        <r>
          <rPr>
            <b/>
            <sz val="8"/>
            <color rgb="FF000000"/>
            <rFont val="Times New Roman"/>
            <family val="1"/>
          </rPr>
          <t xml:space="preserve">Pass
Fail
Untested
N/A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11" authorId="0" shapeId="0" xr:uid="{3E69C34E-9432-4724-B618-A83272EC0547}">
      <text>
        <r>
          <rPr>
            <b/>
            <sz val="8"/>
            <color rgb="FF000000"/>
            <rFont val="Times New Roman"/>
            <family val="1"/>
          </rPr>
          <t xml:space="preserve">Pass
Fail
Untested
N/A
</t>
        </r>
      </text>
    </comment>
  </commentList>
</comments>
</file>

<file path=xl/sharedStrings.xml><?xml version="1.0" encoding="utf-8"?>
<sst xmlns="http://schemas.openxmlformats.org/spreadsheetml/2006/main" count="608" uniqueCount="420">
  <si>
    <t>Function Name</t>
  </si>
  <si>
    <t>Created By</t>
  </si>
  <si>
    <t>Enviroment</t>
  </si>
  <si>
    <t>Screen resolution</t>
  </si>
  <si>
    <t>Passed</t>
  </si>
  <si>
    <t>Failed</t>
  </si>
  <si>
    <t>Number of Test cases</t>
  </si>
  <si>
    <t>ID</t>
  </si>
  <si>
    <t>Test Case Description</t>
  </si>
  <si>
    <t>Pre-Condition</t>
  </si>
  <si>
    <t>Step</t>
  </si>
  <si>
    <t>Expected output</t>
  </si>
  <si>
    <t>Actual ouput</t>
  </si>
  <si>
    <t>Result</t>
  </si>
  <si>
    <t>Test data</t>
  </si>
  <si>
    <t>Test date</t>
  </si>
  <si>
    <t>Note</t>
  </si>
  <si>
    <t>IE11</t>
  </si>
  <si>
    <t>FF</t>
  </si>
  <si>
    <t>Chrome</t>
  </si>
  <si>
    <t>Safari</t>
  </si>
  <si>
    <t>IphoneX</t>
  </si>
  <si>
    <t>Samsung 
S7</t>
  </si>
  <si>
    <t>Ipad</t>
  </si>
  <si>
    <t>HTC Tablet</t>
  </si>
  <si>
    <t>Happy Case</t>
  </si>
  <si>
    <t>TC_ATC_01</t>
  </si>
  <si>
    <t>Thêm sản phẩm vào giỏ hàng thành công</t>
  </si>
  <si>
    <t>Người dùng đã đăng nhập
Sản phẩm còn hàng</t>
  </si>
  <si>
    <t>1. Mở trang chi tiết sản phẩm
2. Chọn màu/size
3. Nhập số lượng (Số lượng mặc định = 1)
4. Click “Thêm vào giỏ hàng”</t>
  </si>
  <si>
    <t>Hiển thị message “Sản phẩm đã được thêm vào giỏ hàng” và giỏ hàng tăng thêm số lượng</t>
  </si>
  <si>
    <t>TC_ATC_02</t>
  </si>
  <si>
    <t>Thêm sản phẩm vào giỏ hàng mà không chọn phân loại sản phẩm</t>
  </si>
  <si>
    <t xml:space="preserve">Người dùng đã đăng nhập
Mở trang sản phẩm có phân loại hàng </t>
  </si>
  <si>
    <t>1. Mở trang chi tiết sản phẩm
2. Không chọn màu/size
3. Click “Thêm vào giỏ hàng”</t>
  </si>
  <si>
    <t>Hiển thị message “Vui lòng chọn phân loại hàng”</t>
  </si>
  <si>
    <t>TC_ATC_03</t>
  </si>
  <si>
    <t>Thêm sản phẩm vào giỏ hàng với số lượng đúng bằng tồn kho</t>
  </si>
  <si>
    <t>1. Mở trang chi tiết sản phẩm
2. Chọn màu/size
3. Nhập số lượng = tồn kho (VD: tồn kho = 10)
4. Click “Thêm vào giỏ hàng”</t>
  </si>
  <si>
    <t>1. Hiển thị message "Số lượng bạn chọn đã đạt mức tối đa của sản phẩm này" sau khi nhập số lượng 
2. Hiển thị message “Sản phẩm đã được thêm vào giỏ hàng” và cập nhật số lượng giỏ hàng</t>
  </si>
  <si>
    <t>TC_ATC_04</t>
  </si>
  <si>
    <t>Thêm sản phẩm vào giỏ hàng với số lượng vượt quá tồn kho</t>
  </si>
  <si>
    <t>Người dùng đã đăng nhập, sản phẩm còn hàng, chọn phân loại</t>
  </si>
  <si>
    <t>1. Mở trang chi tiết sản phẩm
2. Chọn màu/size
3. Nhập số lượng &gt; tồn kho (VD: tồn kho = 5, nhập = 10)
4. Click “Thêm vào giỏ hàng”</t>
  </si>
  <si>
    <t>Hiển thị message “Số lượng bạn chọn đã đạt mức tối đa của sản phẩm này” và số lượng auto reset = tồn kho</t>
  </si>
  <si>
    <t>TC_ATC_05</t>
  </si>
  <si>
    <t>Chọn sản phẩm hết hàng</t>
  </si>
  <si>
    <t>Người dùng đã đăng nhập, sản phẩm có phân loại hết hàng</t>
  </si>
  <si>
    <t xml:space="preserve">1. Mở trang chi tiết sản phẩm
2. Sản phẩm có phân loại hiển thị hết hàng (màu xám)
</t>
  </si>
  <si>
    <t>Không thể chọn phân loại sản phẩm</t>
  </si>
  <si>
    <t>TC_ATC_06</t>
  </si>
  <si>
    <t>Thêm sản phẩm chưa đăng nhập (có phân loại, số lượng hợp lệ)</t>
  </si>
  <si>
    <t>Người dùng chưa đăng nhập, sản phẩm còn hàng, chọn phân loại, số lượng trong tồn kho</t>
  </si>
  <si>
    <t>1. Mở trang chi tiết sản phẩm
2. Chọn màu/size
3. Nhập số lượng hợp lệ
4. Click “Thêm vào giỏ hàng”</t>
  </si>
  <si>
    <t>Hệ thống điều hướng sang trang “Đăng nhập”</t>
  </si>
  <si>
    <t>TC_ATC_07</t>
  </si>
  <si>
    <t>Thêm sản phẩm chưa đăng nhập + không chọn phân loại</t>
  </si>
  <si>
    <t>Người dùng chưa đăng nhập, sản phẩm còn hàng, chưa chọn phân loại</t>
  </si>
  <si>
    <t>1. Mở trang chi tiết sản phẩm
2. Không chọn phân loại
3. Click “Thêm vào giỏ hàng”</t>
  </si>
  <si>
    <t>TC_ATC_08</t>
  </si>
  <si>
    <t>Thêm sản phẩm chưa đăng nhập + số lượng = tồn kho</t>
  </si>
  <si>
    <t>Người dùng chưa đăng nhập, sản phẩm còn hàng, chọn phân loại, số lượng = tồn kho</t>
  </si>
  <si>
    <t>1. Mở trang chi tiết sản phẩm
2. Chọn phân loại
3. Nhập số lượng = tồn kho
4. Click “Thêm vào giỏ hàng”</t>
  </si>
  <si>
    <t>1. Hiển thị message “Số lượng bạn chọn đã đạt mức tối đa của sản phẩm này”  
2. Hệ thống điều hướng sang trang “Đăng nhập”</t>
  </si>
  <si>
    <t>TC_ATC_09</t>
  </si>
  <si>
    <t>Thêm sản phẩm hết hàng + chưa đăng nhập</t>
  </si>
  <si>
    <t>Người dùng chưa đăng nhập, sản phẩm hết hàng</t>
  </si>
  <si>
    <t>1. Mở trang chi tiết sản phẩm
2. Sản phẩm hiển thị hết hàng
3. Click “Thêm vào giỏ hàng”</t>
  </si>
  <si>
    <t>1. Không thể chọn sản phẩm
2. Hệ thống điều hướng sang trang “Đăng nhập”</t>
  </si>
  <si>
    <t>Kiểm tra icon giỏ hàng trên header</t>
  </si>
  <si>
    <t>Truy cập trang chủ Shopee</t>
  </si>
  <si>
    <t>Hiển thị icon giỏ hàng trên góc phải
Hiển thị số lượng (nếu có)</t>
  </si>
  <si>
    <t>Kiểm tra giao diện giỏ hàng rỗng</t>
  </si>
  <si>
    <t xml:space="preserve">1. Đăng nhập vào tài khoản Shopee
</t>
  </si>
  <si>
    <t xml:space="preserve">Truy cập vào giỏ hàng </t>
  </si>
  <si>
    <t>Hiển thị message “Giỏ hàng của bạn còn trống”</t>
  </si>
  <si>
    <t>Kiểm tra giao diện giỏ hàng có sản phẩm</t>
  </si>
  <si>
    <t>1. Đăng nhập vào tài khoản Shopee
2. Có ít nhất 01 sản phẩm đã được thêm vào giỏ hàng</t>
  </si>
  <si>
    <t>Expected: Danh sách sản phẩm (ảnh, tên, thuộc tính, giá, số lượng, subtotal), checkbox chọn, button “Mua hàng”, button xóa</t>
  </si>
  <si>
    <t>Kiểm tra hiển thị tổng giá trị đơn hàng</t>
  </si>
  <si>
    <t>Hiển thị tổng tiền đúng dưới danh sách sản phẩm</t>
  </si>
  <si>
    <t>Kiểm tra popup mã giảm giá</t>
  </si>
  <si>
    <t>1. Truy cập vào giỏ hàng 
2. Click vào ô “Chọn hoặc nhập mã”</t>
  </si>
  <si>
    <t>Hiện popup danh sách voucher, mô tả điều kiện</t>
  </si>
  <si>
    <t>Hiển thị mini cart khi hover</t>
  </si>
  <si>
    <t>Di chuột (hover) lên icon giỏ hàng</t>
  </si>
  <si>
    <t>Hiển thị mini cart ngay dưới icon: chứa danh
sách sản phẩm</t>
  </si>
  <si>
    <t>Mở trang chi tiết sản phẩm từ mini cart</t>
  </si>
  <si>
    <t>1. Di chuột (hover) lên icon giỏ hàng
2. Click vào sản phẩm trong mini cart</t>
  </si>
  <si>
    <t>Điều hướng tới trang chi tiết sản phẩm tương ứng</t>
  </si>
  <si>
    <t>Nhập số lượng sản phẩm = 0</t>
  </si>
  <si>
    <t>1. Truy cập vào giỏ hàng 
2. Tại ô số lượng, nhập "0"</t>
  </si>
  <si>
    <t>Hệ thống không chấp nhận, reset về số cũ</t>
  </si>
  <si>
    <t>Nhập số lượng ký tự chữ cái</t>
  </si>
  <si>
    <t>1. Truy cập vào giỏ hàng 
2. Tại ô số lượng, nhập “abc”</t>
  </si>
  <si>
    <t>Nhập số lượng ký tự đặc biệt</t>
  </si>
  <si>
    <t>1. Truy cập vào giỏ hàng 
2. Tại ô số lượng nhập “@#$”</t>
  </si>
  <si>
    <t>Áp dụng mã giảm giá khi không tick sản phẩm trong giỏ hàng</t>
  </si>
  <si>
    <t>1. Truy cập vào giỏ hàng 
2. Không tick sp nào 
3. Click “Chọn hoặc nhập mã”</t>
  </si>
  <si>
    <t>Hiển thị message "Vui lòng chọn sản phẩm trong giỏ hàng để áp dụng Voucher này" ngay bên dưới voucher.</t>
  </si>
  <si>
    <t>Truy cập vào giỏ hàng khi chưa đăng nhập</t>
  </si>
  <si>
    <t>Chưa đăng nhập tài khoản</t>
  </si>
  <si>
    <t>1.Truy cập trang chủ Shopee
2. Click vào icon “Giỏ hàng”</t>
  </si>
  <si>
    <t>Hệ thống điều hướng sang trang Đăng nhập</t>
  </si>
  <si>
    <t>Thêm sản phẩm vào giỏ thành công</t>
  </si>
  <si>
    <t>Đăng nhập vào tài khoản Shopee</t>
  </si>
  <si>
    <t>1. Truy cập vào 1 trang sản phẩm
2. Chọn màu sắc/kích thước
3. Click “Thêm vào giỏ hàng”
4. Click vào biểu tượng giỏ hàng</t>
  </si>
  <si>
    <t>Sản phẩm tương ứng hiển thị trong giỏ
Số lượng ở icon header tăng</t>
  </si>
  <si>
    <t>Tick chọn sản phẩm để mua trong giỏ hàng</t>
  </si>
  <si>
    <t>1. Truy cập vào giỏ hàng 
2. Tick vào checkbox sản phẩm</t>
  </si>
  <si>
    <t>1. Checkbox được chọn
2. Tick box của Shopee Xu Enable
3. Số lượng sản phẩm và tổng tiền được cập nhật tương ứng</t>
  </si>
  <si>
    <t>Bỏ tick sản phẩm trong giỏ hàng</t>
  </si>
  <si>
    <t>1. Truy cập vào giỏ hàng 
2. Tick vào checkbox sản phẩm
3. Bỏ tick sản phẩm</t>
  </si>
  <si>
    <t>1. Checkbox được bỏ chọn
2. Tick box của Shopee Xu Disable
3. Số lượng sản phẩm và tổng tiền được cập nhật tương ứng</t>
  </si>
  <si>
    <t>Cập nhật số lượng sản phẩm trong giỏ hàng (+)</t>
  </si>
  <si>
    <t>1. Truy cập vào giỏ hàng 
2. Click nút “+” trên sản phẩm trong giỏ</t>
  </si>
  <si>
    <t>1. Số lượng tăng lên
2. Số tiền cập nhật đúng</t>
  </si>
  <si>
    <t>Cập nhật số lượng sản phẩm trong giỏ hàng  (–)</t>
  </si>
  <si>
    <t>1. Truy cập vào giỏ hàng 
2. Click nút “-” trên sản phẩm trong giỏ</t>
  </si>
  <si>
    <t>1. Số lượng giảm xuống (&gt;=1)
2. Số tiền cập nhật đúng</t>
  </si>
  <si>
    <t xml:space="preserve">Cập nhật số lượng sản phẩm trong giỏ hàng bằng nút “–” khi số lượng mặc định = 1 </t>
  </si>
  <si>
    <t>1. Truy cập giỏ hàng
2. Tại sản phẩm có số lượng = 1, bấm nút “–”</t>
  </si>
  <si>
    <t>1. Hệ thống hiển thị popup: “Bạn chắc chắn muốn bỏ sản phẩm này?”
2. Popup có 2 lựa chọn: Xác nhận và Hủy
- Nếu chọn Xác nhận → sản phẩm bị xóa khỏi giỏ hàng
- Nếu chọn Hủy → sản phẩm vẫn còn trong giỏ, số lượng giữ nguyên = 1</t>
  </si>
  <si>
    <t>Nhập số lượng trực tiếp</t>
  </si>
  <si>
    <t>1. Truy cập vào giỏ hàng 
2. Nhập số lượng = 5</t>
  </si>
  <si>
    <t>1. Số lượng cập nhật thành 5
2. Số tiền cập nhật đúng</t>
  </si>
  <si>
    <t>Nhập số lượng vượt tồn kho</t>
  </si>
  <si>
    <t>1. Truy cập vào giỏ hàng 
2. Nhập số lượng = tồn kho + 1 (VD: tồn kho = 9, nhập số lượng 10)</t>
  </si>
  <si>
    <t>1. Hiển thị message "Rất tiếc, bạn chỉ có thể mua tối đa 9 sản phẩm của chương trình giảm giá này."
2. Hệ thống tự reset lại số lượng = tồn kho</t>
  </si>
  <si>
    <t>Xoá sản phẩm</t>
  </si>
  <si>
    <t>1. Truy cập vào giỏ hàng 
2. Click “Xoá”</t>
  </si>
  <si>
    <t>Sản phẩm xóa thành công khỏi giỏ hàng</t>
  </si>
  <si>
    <t>Xoá nhiều sản phẩm cùng lúc</t>
  </si>
  <si>
    <t>1. Đăng nhập vào tài khoản Shopee
2. Có ít nhất 02 sản phẩm đã được thêm vào giỏ hàng</t>
  </si>
  <si>
    <t>1. Truy cập vào giỏ hàng 
2. Tick chọn nhiều sản phẩm
2. Click “Xoá”</t>
  </si>
  <si>
    <t>Các sản phẩm được tick bị xoá khỏi giỏ hàng thành công</t>
  </si>
  <si>
    <t>Xóa toàn bộ sản phẩm</t>
  </si>
  <si>
    <t>Tất cả sản phẩm bị xoá khỏi giỏ hàng thành công</t>
  </si>
  <si>
    <t>Áp dụng Shopee Voucher</t>
  </si>
  <si>
    <t>1. Truy cập vào giỏ hàng 
2. Tick chọn sản phẩm 
3. Click "Thêm hoặc nhập mã"</t>
  </si>
  <si>
    <t>Hiển thị message "Vui lòng mua hàng trên ứng dụng Shopee để sử dụng ưu đãi"</t>
  </si>
  <si>
    <t>Áp dụng Shopee Xu khi tick sản phẩm</t>
  </si>
  <si>
    <t>1. Đăng nhập vào tài khoản Shopee
2. Có ít nhất 01 sản phẩm đã được thêm vào giỏ hàng
3. Có Shopee Xu khả dụng.</t>
  </si>
  <si>
    <t>1. Truy cập vào giỏ hàng 
2. Tick chọn sản phẩm
3. Tick chọn Shopee Xu</t>
  </si>
  <si>
    <t>Shopee Xu được áp dụng, tổng tiền giảm tương ứng</t>
  </si>
  <si>
    <t>Shopee Xu disable khi chưa tick chọn sản phẩm</t>
  </si>
  <si>
    <t>1. Truy cập vào giỏ hàng 
2. Không tick chọn sản phẩm nào</t>
  </si>
  <si>
    <t>Shopee Xu disable</t>
  </si>
  <si>
    <t>Thanh toán sản phẩm trong giỏ hàng</t>
  </si>
  <si>
    <t>1. Truy cập vào giỏ hàng 
2. Tick chọn ≥1 sản phẩm 
3. Click "Mua hàng"</t>
  </si>
  <si>
    <t>Hệ thống chuyển sang trang Thanh toán</t>
  </si>
  <si>
    <t>Thanh toán khi không chọn sản phẩm trong giỏ hàng</t>
  </si>
  <si>
    <t>1. Truy cập vào giỏ hàng 
2. Không tick chọn sản phẩm nào
3. Click "Mua hàng"</t>
  </si>
  <si>
    <t>Hiển thị message "Bạn vẫn chưa chọn sản phẩm nào để mua."</t>
  </si>
  <si>
    <t>Giỏ hàng khi đăng xuất</t>
  </si>
  <si>
    <t>Đăng xuất → vào giỏ hàng</t>
  </si>
  <si>
    <t>Hiển thị yêu cầu đăng nhập hoặc giỏ trống</t>
  </si>
  <si>
    <t>Khi clik vào link sản phẩm trong giỏ hàng</t>
  </si>
  <si>
    <t>1. Truy cập vào giỏ hàng 
2. Click vào tên/ảnh sản phẩm trong giỏ</t>
  </si>
  <si>
    <t>Hệ thống điều hướng đến trang chi tiết sản phẩm tương ứng</t>
  </si>
  <si>
    <t>Tính tổng tiền trong giỏ hàng</t>
  </si>
  <si>
    <t>1. Đăng nhập vào tài khoản Shopee
2. Giỏ hàng có ít nhất 2 sản phẩm.
3. Có mã giảm giá hợp lệ và còn Shopee Xu khả dụng.</t>
  </si>
  <si>
    <t>1. Truy cập vào giỏ hàng
2. Chọn nhiều sản phẩm với số lượng khác nhau.
3. Chọn áp dụng mã giảm giá hợp lệ.
4. Chọn sử dụng Shopee Xu (nếu có).</t>
  </si>
  <si>
    <t>Hệ thống hiển thị tổng tiền thanh toán được tính chính xác theo công thức:
Tổng tiền = Σ (Giá sản phẩm × số lượng) – giảm giá – Shopee Xu.</t>
  </si>
  <si>
    <t>Lưu trạng thái giỏ hàng</t>
  </si>
  <si>
    <t>1.Người dùng đã đăng nhập.
2. Giỏ hàng đang có sản phẩm.</t>
  </si>
  <si>
    <t>1. Thêm một hoặc nhiều sản phẩm vào giỏ hàng.
2. Logout khỏi tài khoản.
3. Login lại bằng cùng tài khoản.</t>
  </si>
  <si>
    <t>Giỏ hàng vẫn hiển thị chính xác các sản phẩm đã thêm trước khi logout</t>
  </si>
  <si>
    <t>Tải lại trang giỏ hàng</t>
  </si>
  <si>
    <t>1. Truy cập vào giỏ hàng 
2. Nhấn F5 hoặc nút Refresh trình duyệt.</t>
  </si>
  <si>
    <t>Giỏ hàng vẫn giữ nguyên trạng thái trước đó</t>
  </si>
  <si>
    <t>Sản phẩm đã hết hàng sau khi thêm vào giỏ</t>
  </si>
  <si>
    <t>1. Người dùng đã đăng nhập.
2. Giỏ hàng đang có sản phẩm hết hàng</t>
  </si>
  <si>
    <t xml:space="preserve">1. Truy cập vào giỏ hàng </t>
  </si>
  <si>
    <t>Hiển thị trạng thái: “Hết hàng” cạnh dòng sản phẩm.
Nút tăng/giảm số lượng disable</t>
  </si>
  <si>
    <t>Sản phẩm không còn khả dụng (bị xóa / ngưng kinh doanh) sau khi đã thêm vào giỏ</t>
  </si>
  <si>
    <t>1. Người dùng đã đăng nhập.
2. Giỏ hàng đang có sản phẩm không còn khả dụng</t>
  </si>
  <si>
    <t>Sản phẩm được đưa vào "Danh sách sản phẩm không hoạt động"</t>
  </si>
  <si>
    <t>TC_CO_01</t>
  </si>
  <si>
    <t>Hiển thị trang thanh toán (Load &amp; layout)</t>
  </si>
  <si>
    <t>Đã login, có sản phẩm trong giỏ</t>
  </si>
  <si>
    <t>Tại trang sản phẩm bất kỳ, click "Mua hàng"</t>
  </si>
  <si>
    <t>Trang tải đầy đủ: 
- Địa chỉ nhận hàng
- Danh sách sản phẩm (thuộc tính, đơn giá, số lượng, thành tiền)
- Phương thức vận chuyển
- Voucher
- Phương thức thanh toán
- Button "Đặt hàng"</t>
  </si>
  <si>
    <t>TC_CO_02</t>
  </si>
  <si>
    <t>Hiển thị địa chỉ giao hàng</t>
  </si>
  <si>
    <t>Người dùng có ≥1 địa chỉ</t>
  </si>
  <si>
    <t>Tại trang thanh toán, Click vào "Thay đổi" ở Địa chỉ 
nhận hàng</t>
  </si>
  <si>
    <t>Popup "Địa Chỉ Của Tôi" gồm:
- tên, số điện thoại, địa chỉ
- Button "Cập nhật" và "Thêm địa chỉ mới"</t>
  </si>
  <si>
    <t>TC_CO_03</t>
  </si>
  <si>
    <t>Hiển thị chi tiết sản phẩm trong đơn</t>
  </si>
  <si>
    <t>Sản phẩm trong giỏ</t>
  </si>
  <si>
    <t>Quan sát dòng sản phẩm: ảnh, tên, phân loại, đơn giá, 
số lượng, thành tiền</t>
  </si>
  <si>
    <t>Ảnh &amp; tên đúng, thành tiền = đơn giá × số lượng</t>
  </si>
  <si>
    <t>TC_CO_04</t>
  </si>
  <si>
    <t>Thay đổi địa chỉ giao hàng</t>
  </si>
  <si>
    <t>Có ≥2 địa chỉ</t>
  </si>
  <si>
    <t>1. Click Thay đổi  
2. Chọn địa chỉ khác
3. Click "Xác nhận"</t>
  </si>
  <si>
    <t>Địa chỉ cập nhật; phí vận chuyển/thời gian cập nhật nếu có</t>
  </si>
  <si>
    <t>TC_CO_05</t>
  </si>
  <si>
    <t>Thêm địa chỉ mới từ trang thanh toán</t>
  </si>
  <si>
    <t>Tài khoản có 0 hoặc nhiều địa chỉ</t>
  </si>
  <si>
    <t xml:space="preserve">1. Click Thêm địa chỉ
2. Nhập thông tin 
3. Click "Hoàn thành" </t>
  </si>
  <si>
    <t>Địa chỉ được lưu và hiển thị trong popup "Địa Chỉ Của Tôi"</t>
  </si>
  <si>
    <t>TC_CO_06</t>
  </si>
  <si>
    <t xml:space="preserve">Thêm mới địa chỉ với số điện thoại không 
hợp lệ </t>
  </si>
  <si>
    <t>1. Click "Thay đổi"
2. Click "Cập nhật"
3. Tại trường SĐT, nhập "123456789"</t>
  </si>
  <si>
    <t>Hiển thị message "Số điện thoại không hợp lệ"</t>
  </si>
  <si>
    <t>TC_CO_07</t>
  </si>
  <si>
    <t>Đặt địa chỉ làm mặc định</t>
  </si>
  <si>
    <t>Có nhiều địa chỉ trong danh sách</t>
  </si>
  <si>
    <t>1. Click "Thay đổi"
2. Click "Cập nhật"
3. Tick vào "Đặt làm địa chỉ mặc định"
4. Click "Hoàn thành"</t>
  </si>
  <si>
    <t>Địa chỉ vừa chọn được gắn mặc định</t>
  </si>
  <si>
    <t>TC_CO_09</t>
  </si>
  <si>
    <t>Sản phẩm hiển thị đúng trên trang thanh 
toán</t>
  </si>
  <si>
    <t>Đã thêm sản phẩm vào giỏ</t>
  </si>
  <si>
    <t>Quan sát từng dòng sản phẩm</t>
  </si>
  <si>
    <t>Ảnh, tên, variant, đơn giá, số lượng, thành tiền chính xác</t>
  </si>
  <si>
    <t>TC_CO_10</t>
  </si>
  <si>
    <t>Kiểm tra thuộc tính sản phẩm hiển thị chính xác</t>
  </si>
  <si>
    <t>Chọn variant size/màu khi thêm vào giỏ</t>
  </si>
  <si>
    <t>Quan sát variant hiển thị trên checkout</t>
  </si>
  <si>
    <t>Variant (size/màu/SKU) hiển thị đúng</t>
  </si>
  <si>
    <t>TC_CO_11</t>
  </si>
  <si>
    <t>Kiểm tra shop/merchant hiển thị cho từng 
sản phẩm</t>
  </si>
  <si>
    <t>Đơn có sp từ 1+ shop</t>
  </si>
  <si>
    <t>Quan sát tên shop, logo, click vào link shop</t>
  </si>
  <si>
    <t>Tên shop chính xác, sản phẩm được nhóm theo shop</t>
  </si>
  <si>
    <t>TC_CO_12</t>
  </si>
  <si>
    <t>Kiểm tra add-on/bảo hiểm hiển thị đúng</t>
  </si>
  <si>
    <t>Shop cung cấp add-on bảo hiểm</t>
  </si>
  <si>
    <t>Quan sát dòng sản phẩm</t>
  </si>
  <si>
    <t>Add-on hiển thị đúng tên, giá, gắn với đúng sản phẩm</t>
  </si>
  <si>
    <t>TC_CO_25</t>
  </si>
  <si>
    <t>Thêm bảo hiểm sản phẩm khi tick chọn</t>
  </si>
  <si>
    <t>Sản phẩm hỗ trợ bảo hiểm</t>
  </si>
  <si>
    <t>Tick chọn bảo hiểm sản phẩm</t>
  </si>
  <si>
    <t>Tổng thanh toán tăng thêm đúng số tiền bảo hiểm</t>
  </si>
  <si>
    <t>TC_CO_26</t>
  </si>
  <si>
    <t>Bỏ chọn bảo hiểm sản phẩm</t>
  </si>
  <si>
    <t>1. Tick chọn bảo hiểm sản phẩm
2. Bỏ tick bảo hiểm sản phẩm</t>
  </si>
  <si>
    <t>Tổng thanh toán giảm đúng số tiền bảo hiểm</t>
  </si>
  <si>
    <t>TC_CO_13</t>
  </si>
  <si>
    <t>Kiểm tra giá áp dụng (giá gốc, khuyến mãi)</t>
  </si>
  <si>
    <t>SP đang có khuyến mãi</t>
  </si>
  <si>
    <t>Quan sát đơn giá &amp; giảm giá</t>
  </si>
  <si>
    <t>Đơn giá sau giảm đúng, tổng giảm hàng hóa đúng</t>
  </si>
  <si>
    <t>TC_CO_14</t>
  </si>
  <si>
    <t>Hiển thị &amp; thay đổi phương thức vận chuyển</t>
  </si>
  <si>
    <t>Có nhiều phương thức vận chuyển</t>
  </si>
  <si>
    <t>1. Click "Thay đổi"
2. Chọn phương thức khác (nếu có)</t>
  </si>
  <si>
    <t>Phí &amp; thời gian cập nhật; tổng thanh toán cập nhật</t>
  </si>
  <si>
    <t>TC_CO_15</t>
  </si>
  <si>
    <t>Phí vận chuyển phụ thuộc địa chỉ</t>
  </si>
  <si>
    <t>Có địa chỉ ở khu vực khác</t>
  </si>
  <si>
    <t>1. Thay đổi địa chỉ 
2. Quan sát phí</t>
  </si>
  <si>
    <t>Phí thay đổi theo khu vực</t>
  </si>
  <si>
    <t>TC_CO_16</t>
  </si>
  <si>
    <t>Phí vận chuyển &amp; tách đơn khi nhiều shop</t>
  </si>
  <si>
    <t>SP từ 2 shop khác nhau</t>
  </si>
  <si>
    <t xml:space="preserve">1. Chọn sản phẩm từ  ≥2 shop khác nhau
2. Click "Mua hàng" </t>
  </si>
  <si>
    <t>Phí vận chuyển tính riêng theo từng shop</t>
  </si>
  <si>
    <t>TC_CO_17</t>
  </si>
  <si>
    <t>Chọn voucher của shop</t>
  </si>
  <si>
    <t>Có voucher hợp lệ</t>
  </si>
  <si>
    <t>Tại Voucher của Shop
1. Click "Chọn voucher"
2. Chọn voucher hợp lệ</t>
  </si>
  <si>
    <t>Tổng thanh toán của shop giảm đúng giá trị voucher</t>
  </si>
  <si>
    <t>TC_CO_18</t>
  </si>
  <si>
    <t>Voucher không hợp lệ (đơn không đủ điều kiện)</t>
  </si>
  <si>
    <t>Voucher yêu cầu đơn lớn hơn hiện tại</t>
  </si>
  <si>
    <t>Tại Voucher của Shop
1. Click "Chọn voucher"</t>
  </si>
  <si>
    <t>Voucher disable
Hiển thị message “Mua thêm ---đ để sử dụng voucher”</t>
  </si>
  <si>
    <t>TC_CO_19</t>
  </si>
  <si>
    <t>Chọn nhiều voucher Shop</t>
  </si>
  <si>
    <t>Tại Voucher của Shop
1. Click "Chọn voucher"
2. Click chọn nhiều voucher</t>
  </si>
  <si>
    <t>Hệ thống chỉ cho phép chọn 1 voucher, voucher còn lại bị bỏ chọn</t>
  </si>
  <si>
    <t>TC_CO_20</t>
  </si>
  <si>
    <t>Sử dụng Shopee Xu khi có đủ điều kiện</t>
  </si>
  <si>
    <t>Tài khoản có Shopee Xu</t>
  </si>
  <si>
    <t xml:space="preserve">Tick sử dụng Shopee Xu </t>
  </si>
  <si>
    <t>Tổng thanh toán giảm đúng theo số Xu được quy đổi
Hiển thị số Xu đã trừ</t>
  </si>
  <si>
    <t>TC_CO_21</t>
  </si>
  <si>
    <t xml:space="preserve">Kiểm tra khi không có Shopee Xu </t>
  </si>
  <si>
    <t>Tài khoản không có Shopee Xu</t>
  </si>
  <si>
    <t>Quan sát mục Shopee Xu</t>
  </si>
  <si>
    <t xml:space="preserve">Hiển thị “Không thể sử dụng Xu” 
Checkbox bị disable </t>
  </si>
  <si>
    <t>TC_CO_22</t>
  </si>
  <si>
    <t>Sử dụng Shopee Xu &gt; tổng tiền đơn hàng</t>
  </si>
  <si>
    <t>Shopee Xu &gt; tổng tiền hàng</t>
  </si>
  <si>
    <t>Hệ thống chỉ trừ tối đa bằng giá trị đơn</t>
  </si>
  <si>
    <t>TC_CO_23</t>
  </si>
  <si>
    <t>Áp dụng đồng thời Voucher Shop + Shopee Xu</t>
  </si>
  <si>
    <t>Có sản phẩm hợp lệ, có Voucher Shop và Shopee Xu</t>
  </si>
  <si>
    <t xml:space="preserve">1. Chọn voucher Shop 
2. Tick sử dụng Shopee Xu </t>
  </si>
  <si>
    <t>Tổng thanh toán = Tổng hàng – Voucher Shop – Xu
Hiển thị rõ từng phần giảm</t>
  </si>
  <si>
    <t>TC_CO_24</t>
  </si>
  <si>
    <t>Áp dụng voucher shop khi checkout nhiều shop</t>
  </si>
  <si>
    <t>Có voucher shop A, shop B</t>
  </si>
  <si>
    <t>Voucher shop áp dụng riêng từng shop</t>
  </si>
  <si>
    <t>TC_CO_27</t>
  </si>
  <si>
    <t>Lời nhắn cho từng shop/sản phẩm</t>
  </si>
  <si>
    <t xml:space="preserve">Nhập note cho shop </t>
  </si>
  <si>
    <t>Note lưu &amp; hiển thị trong chi tiết đơn theo shop</t>
  </si>
  <si>
    <t>TC_CO_28</t>
  </si>
  <si>
    <t xml:space="preserve">Thanh toán bằng Ví ShopeePay </t>
  </si>
  <si>
    <t>ShopeePay kích hoạt &amp; đủ dư</t>
  </si>
  <si>
    <t>Tại phương thức thanh toán 
1. Chọn tab "Ví ShopeePay "
2. Click “Đặt hàng”
3. Xác thực OTP nếu cần</t>
  </si>
  <si>
    <t>Chuyển giao diện xác nhận ShopeePay
Thanh toán thành công, trừ tiền trong ví
Chuyển trang Xác nhận đơn</t>
  </si>
  <si>
    <t>TC_CO_29</t>
  </si>
  <si>
    <t>Thanh toán khi nhận hàng (COD)</t>
  </si>
  <si>
    <t>COD được hỗ trợ cho địa chỉ &amp; shop</t>
  </si>
  <si>
    <t>Tại phương thức thanh toán 
1. Chọn "Thanh toán khi nhận hàng"
2. Click "Đặt hàng"</t>
  </si>
  <si>
    <t>Đơn tạo ở trạng thái chờ; không trừ tiền</t>
  </si>
  <si>
    <t>TC_CO_30</t>
  </si>
  <si>
    <t>Thanh toán bằng Thẻ tín dụng / NAPAS / Google Pay</t>
  </si>
  <si>
    <t>Đã liên kết thẻ</t>
  </si>
  <si>
    <t>Tại phương thức thanh toán 
1. Chọn phương thức thẻ 
2. Chọn thẻ đã lưu
3. Click "Đặt hàng"</t>
  </si>
  <si>
    <t>Chuyển giao diện xác nhận
Thanh toán thành công
Chuyển trang Xác nhận đơn</t>
  </si>
  <si>
    <t>TC_CO_31</t>
  </si>
  <si>
    <t>Thêm mới thẻ Tín dụng/Ghi nợ</t>
  </si>
  <si>
    <t xml:space="preserve">Tại phương thức thanh toán 
1. Chọn phương thức thẻ Tín dụng/Ghi nợ
2. Click "+ Thẻ khác"
</t>
  </si>
  <si>
    <t>Hiển thị popup với field: số thẻ, ngày hết hạn, CVV, tên chủ thẻ, địa chỉ đăng ký</t>
  </si>
  <si>
    <t>TC_CO_32</t>
  </si>
  <si>
    <t>Thanh toán bằng thẻ hết hạn</t>
  </si>
  <si>
    <t>Có thẻ hết hạn đã lưu</t>
  </si>
  <si>
    <t xml:space="preserve">Tại phương thức thanh toán 
1. Chọn phương thức thẻ Tín dụng/Ghi nợ
2. Chọn thẻ hết hạn 
3. Click "Đặt hàng"
</t>
  </si>
  <si>
    <t>Hiển thị lỗi, không cho thanh toán bằng thẻ này</t>
  </si>
  <si>
    <t>TC_CO_33</t>
  </si>
  <si>
    <t>Kiểm tra công thức tính tổng tiền</t>
  </si>
  <si>
    <t>Sản phẩm &amp; phí xác định</t>
  </si>
  <si>
    <t>So sánh Tổng tiền hàng + Phí vận chuyển - 
Voucher - Xu</t>
  </si>
  <si>
    <t>Tổng thanh toán đúng theo công thức; hiển thị VNĐ đúng</t>
  </si>
  <si>
    <t>TC_CO_34</t>
  </si>
  <si>
    <t>Nút Đặt hàng bị disable khi chưa đủ thông 
tin</t>
  </si>
  <si>
    <t>Thiếu địa chỉ/chưa chọn phương 
thức thanh toán</t>
  </si>
  <si>
    <t>Để trống địa chỉ hoặc chưa chọn phương thức thanh toán</t>
  </si>
  <si>
    <t>Nút “Đặt hàng” bị disable, không thể click</t>
  </si>
  <si>
    <t>TC_CO_35</t>
  </si>
  <si>
    <t xml:space="preserve">Đặt hàng thành công </t>
  </si>
  <si>
    <t>Thông tin đầy đủ, hợp lệ</t>
  </si>
  <si>
    <t>Click “Đặt hàng”</t>
  </si>
  <si>
    <t>Đơn hàng được tạo, chuyển tới trang xác nhận
Hiển thị mã đơn hàng</t>
  </si>
  <si>
    <t>TC_CO_36</t>
  </si>
  <si>
    <t>Đặt hàng khi mạng bị gián đoạn</t>
  </si>
  <si>
    <t>Hiển thị thông báo “Không thể kết nối, thử lại”</t>
  </si>
  <si>
    <t>TC_CO_37</t>
  </si>
  <si>
    <t>Đặt hàng với nhiều shop</t>
  </si>
  <si>
    <t>Giỏ hàng có sản phẩm từ ≥2 shop</t>
  </si>
  <si>
    <t>Hệ thống tạo ra đơn tách theo từng shop
Mỗi đơn có mã riêng</t>
  </si>
  <si>
    <t>TC_CO_38</t>
  </si>
  <si>
    <t>Đặt hàng ngay khi vừa hết lượt voucher</t>
  </si>
  <si>
    <t>Voucher hết hạn/hết lượt trong thời gian chờ</t>
  </si>
  <si>
    <t>1. Chọn voucher
2. Click “Đặt hàng”</t>
  </si>
  <si>
    <t>Hiển thị thông báo “Voucher không hợp lệ”
Yêu cầu quay lại chỉnh sửa đơn</t>
  </si>
  <si>
    <t>TC_CO_39</t>
  </si>
  <si>
    <t xml:space="preserve">Retry đặt hàng nhiều lần </t>
  </si>
  <si>
    <t>Double click Đặt hàng nhanh</t>
  </si>
  <si>
    <t>Không tạo nhiều đơn trùng lặp
Button disable sau click đầu</t>
  </si>
  <si>
    <t>TC_CO_40</t>
  </si>
  <si>
    <t>Thanh toán thất bại do lỗi ngân hàng</t>
  </si>
  <si>
    <t>1. Chọn phương thức thanh toán thẻ
2. Click “Đặt hàng”</t>
  </si>
  <si>
    <t>Đơn ở trạng thái “Chưa thanh toán”</t>
  </si>
  <si>
    <t>TC_CO_41</t>
  </si>
  <si>
    <t>Refresh trang thanh toán</t>
  </si>
  <si>
    <t>1. Truy cập trang thanh toán
2. F5/Refresh trang thanh toán</t>
  </si>
  <si>
    <t>Danh sách sản phẩm vẫn giữ nguyên</t>
  </si>
  <si>
    <t>TC_CO_42</t>
  </si>
  <si>
    <t>Refresh trang thanh toán khi đã chọn voucher</t>
  </si>
  <si>
    <t>1. Chọn voucher hợp lệ
2. Refresh trang</t>
  </si>
  <si>
    <t>Voucher reset → phải chọn lại</t>
  </si>
  <si>
    <t>Quay lại (Back) từ trang thanh toán</t>
  </si>
  <si>
    <t>Đang ở trang thanh toán</t>
  </si>
  <si>
    <t>Click Back trình duyệt</t>
  </si>
  <si>
    <t>Điều hướng về giỏ hàng, không mất dữ liệu giỏ</t>
  </si>
  <si>
    <t>TC_CART_01</t>
  </si>
  <si>
    <t>TC_CART_02</t>
  </si>
  <si>
    <t>TC_CART_03</t>
  </si>
  <si>
    <t>TC_CART_04</t>
  </si>
  <si>
    <t>TC_CART_05</t>
  </si>
  <si>
    <t>TC_CART_06</t>
  </si>
  <si>
    <t>TC_CART_07</t>
  </si>
  <si>
    <t>TC_CART_08</t>
  </si>
  <si>
    <t>TC_CART_09</t>
  </si>
  <si>
    <t>TC_CART_10</t>
  </si>
  <si>
    <t>TC_CART_11</t>
  </si>
  <si>
    <t>TC_CART_12</t>
  </si>
  <si>
    <t>TC_CART_13</t>
  </si>
  <si>
    <t>TC_CART_14</t>
  </si>
  <si>
    <t>TC_CART_15</t>
  </si>
  <si>
    <t>TC_CART_16</t>
  </si>
  <si>
    <t>TC_CART_17</t>
  </si>
  <si>
    <t>TC_CART_18</t>
  </si>
  <si>
    <t>TC_CART_19</t>
  </si>
  <si>
    <t>TC_CART_20</t>
  </si>
  <si>
    <t>TC_CART_21</t>
  </si>
  <si>
    <t>TC_CART_22</t>
  </si>
  <si>
    <t>TC_CART_23</t>
  </si>
  <si>
    <t>TC_CART_24</t>
  </si>
  <si>
    <t>TC_CART_25</t>
  </si>
  <si>
    <t>TC_CART_26</t>
  </si>
  <si>
    <t>TC_CART_27</t>
  </si>
  <si>
    <t>TC_CART_28</t>
  </si>
  <si>
    <t>TC_CART_29</t>
  </si>
  <si>
    <t>TC_CART_30</t>
  </si>
  <si>
    <t>TC_CART_31</t>
  </si>
  <si>
    <t>TC_CART_32</t>
  </si>
  <si>
    <t>TC_CART_33</t>
  </si>
  <si>
    <t>TC_CART_34</t>
  </si>
  <si>
    <t>TC_CART_35</t>
  </si>
  <si>
    <t>Blocked</t>
  </si>
  <si>
    <t>Not Run</t>
  </si>
  <si>
    <t>Req ID</t>
  </si>
  <si>
    <t>Nguyễn Ngọc Thủy Tiên</t>
  </si>
  <si>
    <t>Reviewer/Approver</t>
  </si>
  <si>
    <t>Issue Date:</t>
  </si>
  <si>
    <t>Pending</t>
  </si>
  <si>
    <t>Check out</t>
  </si>
  <si>
    <t>Cart</t>
  </si>
  <si>
    <t>Add to Cart</t>
  </si>
  <si>
    <t>Hệ thống không reset lại số cũ liền mà làm mờ ô số lượng</t>
  </si>
  <si>
    <t>TC_CO_08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</si>
</sst>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rgb="FFFF0000"/>
      <name val="Calibri"/>
      <family val="2"/>
      <scheme val="minor"/>
    </font>
    <font>
      <b/>
      <sz val="11"/>
      <color theme="1"/>
      <name val="Calibri"/>
      <family val="2"/>
      <scheme val="minor"/>
    </font>
    <font>
      <sz val="11"/>
      <name val="ＭＳ Ｐゴシック"/>
      <charset val="128"/>
    </font>
    <font>
      <sz val="11"/>
      <name val="Times New Roman"/>
      <family val="1"/>
    </font>
    <font>
      <b/>
      <sz val="14"/>
      <name val="Times New Roman"/>
      <family val="1"/>
    </font>
    <font>
      <sz val="14"/>
      <name val="Times New Roman"/>
      <family val="1"/>
    </font>
    <font>
      <i/>
      <sz val="14"/>
      <name val="Times New Roman"/>
      <family val="1"/>
    </font>
    <font>
      <b/>
      <sz val="14"/>
      <color rgb="FFFFFFFF"/>
      <name val="Times New Roman"/>
      <family val="1"/>
    </font>
    <font>
      <sz val="14"/>
      <color indexed="8"/>
      <name val="Times New Roman"/>
      <family val="1"/>
    </font>
    <font>
      <u/>
      <sz val="14"/>
      <color rgb="FF1155CC"/>
      <name val="Times New Roman"/>
      <family val="1"/>
    </font>
    <font>
      <b/>
      <sz val="8"/>
      <color rgb="FF000000"/>
      <name val="Times New Roman"/>
      <family val="1"/>
    </font>
    <font>
      <sz val="11"/>
      <name val="Calibri"/>
      <family val="2"/>
      <scheme val="minor"/>
    </font>
    <font>
      <sz val="8"/>
      <name val="Calibri"/>
      <family val="2"/>
      <scheme val="minor"/>
    </font>
    <font>
      <sz val="14"/>
      <color theme="1"/>
      <name val="Times New Roman"/>
      <family val="1"/>
    </font>
    <font>
      <b/>
      <sz val="10"/>
      <name val="Arial"/>
      <family val="2"/>
    </font>
    <font>
      <sz val="10"/>
      <name val="Tahoma"/>
      <family val="2"/>
    </font>
    <font>
      <i/>
      <sz val="10"/>
      <name val="Arial"/>
      <family val="2"/>
    </font>
    <font>
      <sz val="10"/>
      <name val="Arial"/>
      <family val="2"/>
    </font>
  </fonts>
  <fills count="12">
    <fill>
      <patternFill patternType="none"/>
    </fill>
    <fill>
      <patternFill patternType="gray125"/>
    </fill>
    <fill>
      <patternFill patternType="solid">
        <fgColor theme="0" tint="-0.14993743705557422"/>
        <bgColor indexed="26"/>
      </patternFill>
    </fill>
    <fill>
      <patternFill patternType="solid">
        <fgColor indexed="9"/>
        <bgColor indexed="26"/>
      </patternFill>
    </fill>
    <fill>
      <patternFill patternType="solid">
        <fgColor theme="0"/>
        <bgColor indexed="26"/>
      </patternFill>
    </fill>
    <fill>
      <patternFill patternType="solid">
        <fgColor rgb="FF000080"/>
        <bgColor indexed="64"/>
      </patternFill>
    </fill>
    <fill>
      <patternFill patternType="solid">
        <fgColor rgb="FF2E75B5"/>
        <bgColor rgb="FF2E75B5"/>
      </patternFill>
    </fill>
    <fill>
      <patternFill patternType="solid">
        <fgColor theme="9"/>
        <bgColor indexed="64"/>
      </patternFill>
    </fill>
    <fill>
      <patternFill patternType="solid">
        <fgColor rgb="FFFFFFFF"/>
        <bgColor indexed="64"/>
      </patternFill>
    </fill>
    <fill>
      <patternFill patternType="solid">
        <fgColor rgb="FF70AD47"/>
        <bgColor indexed="64"/>
      </patternFill>
    </fill>
    <fill>
      <patternFill patternType="solid">
        <fgColor rgb="FF00B050"/>
        <bgColor indexed="64"/>
      </patternFill>
    </fill>
    <fill>
      <patternFill patternType="solid">
        <fgColor theme="0"/>
        <bgColor indexed="64"/>
      </patternFill>
    </fill>
  </fills>
  <borders count="12">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0" fontId="3" fillId="0" borderId="0"/>
    <xf numFmtId="0" fontId="3" fillId="0" borderId="0"/>
    <xf numFmtId="0" fontId="3" fillId="0" borderId="0"/>
  </cellStyleXfs>
  <cellXfs count="101">
    <xf numFmtId="0" fontId="0" fillId="0" borderId="0" xfId="0"/>
    <xf numFmtId="0" fontId="4" fillId="0" borderId="0" xfId="1" applyFont="1"/>
    <xf numFmtId="0" fontId="4" fillId="0" borderId="0" xfId="1" applyFont="1" applyAlignment="1">
      <alignment horizontal="center" vertical="center"/>
    </xf>
    <xf numFmtId="0" fontId="5" fillId="2" borderId="1" xfId="2" applyFont="1" applyFill="1" applyBorder="1" applyAlignment="1">
      <alignment horizontal="left" vertical="center" wrapText="1"/>
    </xf>
    <xf numFmtId="0" fontId="6" fillId="3" borderId="2" xfId="2" applyFont="1" applyFill="1" applyBorder="1" applyAlignment="1">
      <alignment wrapText="1"/>
    </xf>
    <xf numFmtId="0" fontId="7" fillId="3" borderId="2" xfId="2" applyFont="1" applyFill="1" applyBorder="1"/>
    <xf numFmtId="0" fontId="7" fillId="3" borderId="3" xfId="2" applyFont="1" applyFill="1" applyBorder="1" applyAlignment="1">
      <alignment wrapText="1"/>
    </xf>
    <xf numFmtId="0" fontId="6" fillId="3" borderId="4" xfId="2" applyFont="1" applyFill="1" applyBorder="1" applyAlignment="1">
      <alignment horizontal="left" wrapText="1"/>
    </xf>
    <xf numFmtId="0" fontId="6" fillId="3" borderId="2" xfId="2" applyFont="1" applyFill="1" applyBorder="1" applyAlignment="1">
      <alignment horizontal="left" wrapText="1"/>
    </xf>
    <xf numFmtId="0" fontId="6" fillId="3" borderId="5" xfId="2" applyFont="1" applyFill="1" applyBorder="1" applyAlignment="1">
      <alignment wrapText="1"/>
    </xf>
    <xf numFmtId="14" fontId="5" fillId="4" borderId="4" xfId="2" applyNumberFormat="1" applyFont="1" applyFill="1" applyBorder="1" applyAlignment="1">
      <alignment horizontal="left" wrapText="1"/>
    </xf>
    <xf numFmtId="14" fontId="5" fillId="4" borderId="2" xfId="2" applyNumberFormat="1" applyFont="1" applyFill="1" applyBorder="1" applyAlignment="1">
      <alignment horizontal="left" wrapText="1"/>
    </xf>
    <xf numFmtId="0" fontId="5" fillId="4" borderId="3" xfId="2" applyFont="1" applyFill="1" applyBorder="1" applyAlignment="1">
      <alignment horizontal="left" wrapText="1"/>
    </xf>
    <xf numFmtId="0" fontId="5" fillId="2" borderId="1" xfId="2" applyFont="1" applyFill="1" applyBorder="1" applyAlignment="1">
      <alignment horizontal="left" wrapText="1"/>
    </xf>
    <xf numFmtId="0" fontId="5" fillId="4" borderId="2" xfId="2" applyFont="1" applyFill="1" applyBorder="1" applyAlignment="1">
      <alignment horizontal="left" wrapText="1"/>
    </xf>
    <xf numFmtId="0" fontId="5" fillId="4" borderId="3" xfId="2" applyFont="1" applyFill="1" applyBorder="1" applyAlignment="1">
      <alignment horizontal="center" wrapText="1"/>
    </xf>
    <xf numFmtId="0" fontId="5" fillId="2" borderId="1" xfId="1" applyFont="1" applyFill="1" applyBorder="1" applyAlignment="1">
      <alignment horizontal="center" vertical="center"/>
    </xf>
    <xf numFmtId="0" fontId="6" fillId="2" borderId="1"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5" fillId="2" borderId="6"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6" fillId="3" borderId="1" xfId="1" applyFont="1" applyFill="1" applyBorder="1" applyAlignment="1">
      <alignment horizontal="center" vertical="center"/>
    </xf>
    <xf numFmtId="0" fontId="6" fillId="3" borderId="1" xfId="1" applyFont="1" applyFill="1" applyBorder="1" applyAlignment="1">
      <alignment horizontal="center" vertical="center" wrapText="1"/>
    </xf>
    <xf numFmtId="0" fontId="6" fillId="3" borderId="2" xfId="1" applyFont="1" applyFill="1" applyBorder="1" applyAlignment="1">
      <alignment horizontal="center" vertical="center" wrapText="1"/>
    </xf>
    <xf numFmtId="0" fontId="6" fillId="3" borderId="6" xfId="1" applyFont="1" applyFill="1" applyBorder="1" applyAlignment="1">
      <alignment horizontal="center" vertical="center" wrapText="1"/>
    </xf>
    <xf numFmtId="0" fontId="6" fillId="3" borderId="2" xfId="1" applyFont="1" applyFill="1" applyBorder="1" applyAlignment="1">
      <alignment horizontal="center" vertical="center" wrapText="1"/>
    </xf>
    <xf numFmtId="0" fontId="6" fillId="3" borderId="7" xfId="1" applyFont="1" applyFill="1" applyBorder="1" applyAlignment="1">
      <alignment horizontal="center" vertical="center" wrapText="1"/>
    </xf>
    <xf numFmtId="0" fontId="8" fillId="5" borderId="8" xfId="1" applyFont="1" applyFill="1" applyBorder="1" applyAlignment="1">
      <alignment horizontal="center" vertical="center" wrapText="1" readingOrder="1"/>
    </xf>
    <xf numFmtId="0" fontId="8" fillId="6" borderId="0" xfId="1" applyFont="1" applyFill="1" applyAlignment="1">
      <alignment horizontal="center"/>
    </xf>
    <xf numFmtId="0" fontId="8" fillId="6" borderId="0" xfId="1" applyFont="1" applyFill="1" applyAlignment="1">
      <alignment horizontal="center" wrapText="1"/>
    </xf>
    <xf numFmtId="0" fontId="8" fillId="7" borderId="9" xfId="1" applyFont="1" applyFill="1" applyBorder="1" applyAlignment="1">
      <alignment horizontal="center" vertical="center" wrapText="1" readingOrder="1"/>
    </xf>
    <xf numFmtId="0" fontId="8" fillId="7" borderId="10" xfId="1" applyFont="1" applyFill="1" applyBorder="1" applyAlignment="1">
      <alignment horizontal="center" vertical="center" wrapText="1" readingOrder="1"/>
    </xf>
    <xf numFmtId="0" fontId="8" fillId="7" borderId="10" xfId="1" applyFont="1" applyFill="1" applyBorder="1" applyAlignment="1">
      <alignment vertical="center" wrapText="1" readingOrder="1"/>
    </xf>
    <xf numFmtId="0" fontId="6" fillId="8" borderId="8" xfId="1" applyFont="1" applyFill="1" applyBorder="1" applyAlignment="1">
      <alignment vertical="center" wrapText="1" readingOrder="1"/>
    </xf>
    <xf numFmtId="0" fontId="6" fillId="8" borderId="8" xfId="1" applyFont="1" applyFill="1" applyBorder="1" applyAlignment="1">
      <alignment vertical="center" wrapText="1"/>
    </xf>
    <xf numFmtId="0" fontId="6" fillId="8" borderId="8" xfId="1" applyFont="1" applyFill="1" applyBorder="1" applyAlignment="1">
      <alignment horizontal="right" vertical="center" wrapText="1" readingOrder="1"/>
    </xf>
    <xf numFmtId="0" fontId="9" fillId="4" borderId="8" xfId="1" applyFont="1" applyFill="1" applyBorder="1"/>
    <xf numFmtId="0" fontId="9" fillId="4" borderId="8" xfId="1" applyFont="1" applyFill="1" applyBorder="1" applyAlignment="1">
      <alignment horizontal="center" vertical="center"/>
    </xf>
    <xf numFmtId="0" fontId="6" fillId="9" borderId="9" xfId="1" applyFont="1" applyFill="1" applyBorder="1" applyAlignment="1">
      <alignment horizontal="center" vertical="center" wrapText="1" readingOrder="1"/>
    </xf>
    <xf numFmtId="0" fontId="6" fillId="9" borderId="10" xfId="1" applyFont="1" applyFill="1" applyBorder="1" applyAlignment="1">
      <alignment horizontal="center" vertical="center" wrapText="1" readingOrder="1"/>
    </xf>
    <xf numFmtId="0" fontId="6" fillId="9" borderId="11" xfId="1" applyFont="1" applyFill="1" applyBorder="1" applyAlignment="1">
      <alignment horizontal="center" vertical="center" wrapText="1" readingOrder="1"/>
    </xf>
    <xf numFmtId="0" fontId="6" fillId="8" borderId="8" xfId="1" applyFont="1" applyFill="1" applyBorder="1" applyAlignment="1">
      <alignment horizontal="left" vertical="center" wrapText="1" readingOrder="1"/>
    </xf>
    <xf numFmtId="0" fontId="6" fillId="0" borderId="0" xfId="1" applyFont="1" applyAlignment="1">
      <alignment vertical="center"/>
    </xf>
    <xf numFmtId="0" fontId="6" fillId="4" borderId="8" xfId="1" applyFont="1" applyFill="1" applyBorder="1"/>
    <xf numFmtId="0" fontId="6" fillId="4" borderId="8" xfId="1" applyFont="1" applyFill="1" applyBorder="1" applyAlignment="1">
      <alignment horizontal="center" vertical="center"/>
    </xf>
    <xf numFmtId="0" fontId="10" fillId="0" borderId="8" xfId="1" applyFont="1" applyBorder="1" applyAlignment="1">
      <alignment vertical="center" wrapText="1" readingOrder="1"/>
    </xf>
    <xf numFmtId="0" fontId="6" fillId="3" borderId="8" xfId="1" applyFont="1" applyFill="1" applyBorder="1"/>
    <xf numFmtId="0" fontId="0" fillId="0" borderId="0" xfId="0" applyAlignment="1">
      <alignment vertical="center" wrapText="1"/>
    </xf>
    <xf numFmtId="0" fontId="0" fillId="0" borderId="0" xfId="0" applyAlignment="1">
      <alignment vertical="center"/>
    </xf>
    <xf numFmtId="0" fontId="2" fillId="10" borderId="8" xfId="0" applyFont="1" applyFill="1" applyBorder="1" applyAlignment="1">
      <alignment horizontal="center" vertical="center"/>
    </xf>
    <xf numFmtId="0" fontId="0" fillId="0" borderId="8" xfId="0" applyBorder="1" applyAlignment="1">
      <alignment vertical="center"/>
    </xf>
    <xf numFmtId="0" fontId="0" fillId="0" borderId="8" xfId="0" applyBorder="1" applyAlignment="1">
      <alignment vertical="center" wrapText="1"/>
    </xf>
    <xf numFmtId="0" fontId="0" fillId="10" borderId="8" xfId="0" applyFill="1" applyBorder="1" applyAlignment="1">
      <alignment vertical="center"/>
    </xf>
    <xf numFmtId="0" fontId="0" fillId="10" borderId="8" xfId="0" applyFill="1" applyBorder="1" applyAlignment="1">
      <alignment vertical="center" wrapText="1"/>
    </xf>
    <xf numFmtId="0" fontId="1" fillId="10" borderId="8" xfId="0" applyFont="1" applyFill="1" applyBorder="1" applyAlignment="1">
      <alignment vertical="center"/>
    </xf>
    <xf numFmtId="0" fontId="0" fillId="0" borderId="8" xfId="0" applyBorder="1"/>
    <xf numFmtId="0" fontId="0" fillId="11" borderId="0" xfId="0" applyFill="1" applyAlignment="1">
      <alignment vertical="center"/>
    </xf>
    <xf numFmtId="0" fontId="14" fillId="0" borderId="8" xfId="0" applyFont="1" applyBorder="1" applyAlignment="1">
      <alignment vertical="center" wrapText="1"/>
    </xf>
    <xf numFmtId="0" fontId="6" fillId="0" borderId="8" xfId="0" applyFont="1" applyBorder="1" applyAlignment="1">
      <alignment vertical="center" wrapText="1"/>
    </xf>
    <xf numFmtId="0" fontId="14" fillId="0" borderId="8" xfId="0" applyFont="1" applyBorder="1" applyAlignment="1">
      <alignment vertical="center"/>
    </xf>
    <xf numFmtId="0" fontId="14" fillId="0" borderId="8" xfId="0" applyFont="1" applyBorder="1" applyAlignment="1">
      <alignment horizontal="left" vertical="center" wrapText="1"/>
    </xf>
    <xf numFmtId="0" fontId="15" fillId="2" borderId="1" xfId="2" applyFont="1" applyFill="1" applyBorder="1" applyAlignment="1">
      <alignment horizontal="left" vertical="center" wrapText="1"/>
    </xf>
    <xf numFmtId="0" fontId="16" fillId="3" borderId="2" xfId="2" applyFont="1" applyFill="1" applyBorder="1" applyAlignment="1">
      <alignment wrapText="1"/>
    </xf>
    <xf numFmtId="0" fontId="17" fillId="3" borderId="2" xfId="2" applyFont="1" applyFill="1" applyBorder="1"/>
    <xf numFmtId="0" fontId="17" fillId="3" borderId="3" xfId="2" applyFont="1" applyFill="1" applyBorder="1" applyAlignment="1">
      <alignment wrapText="1"/>
    </xf>
    <xf numFmtId="0" fontId="16" fillId="3" borderId="4" xfId="2" applyFont="1" applyFill="1" applyBorder="1" applyAlignment="1">
      <alignment horizontal="left" wrapText="1"/>
    </xf>
    <xf numFmtId="0" fontId="16" fillId="3" borderId="2" xfId="2" applyFont="1" applyFill="1" applyBorder="1" applyAlignment="1">
      <alignment horizontal="left" wrapText="1"/>
    </xf>
    <xf numFmtId="0" fontId="16" fillId="3" borderId="3" xfId="2" applyFont="1" applyFill="1" applyBorder="1" applyAlignment="1">
      <alignment horizontal="center" wrapText="1"/>
    </xf>
    <xf numFmtId="0" fontId="18" fillId="3" borderId="2" xfId="2" applyFont="1" applyFill="1" applyBorder="1" applyAlignment="1">
      <alignment wrapText="1"/>
    </xf>
    <xf numFmtId="0" fontId="16" fillId="3" borderId="5" xfId="2" applyFont="1" applyFill="1" applyBorder="1" applyAlignment="1">
      <alignment wrapText="1"/>
    </xf>
    <xf numFmtId="0" fontId="15" fillId="2" borderId="1" xfId="2" applyFont="1" applyFill="1" applyBorder="1" applyAlignment="1">
      <alignment horizontal="left" wrapText="1"/>
    </xf>
    <xf numFmtId="14" fontId="15" fillId="4" borderId="4" xfId="2" applyNumberFormat="1" applyFont="1" applyFill="1" applyBorder="1" applyAlignment="1">
      <alignment horizontal="left" wrapText="1"/>
    </xf>
    <xf numFmtId="0" fontId="15" fillId="4" borderId="3" xfId="2" applyFont="1" applyFill="1" applyBorder="1" applyAlignment="1">
      <alignment horizontal="left" wrapText="1"/>
    </xf>
    <xf numFmtId="0" fontId="15" fillId="4" borderId="2" xfId="2" applyFont="1" applyFill="1" applyBorder="1" applyAlignment="1">
      <alignment horizontal="left" wrapText="1"/>
    </xf>
    <xf numFmtId="0" fontId="15" fillId="4" borderId="3" xfId="2" applyFont="1" applyFill="1" applyBorder="1" applyAlignment="1">
      <alignment horizontal="center" wrapText="1"/>
    </xf>
    <xf numFmtId="0" fontId="15" fillId="2" borderId="1" xfId="3" applyFont="1" applyFill="1" applyBorder="1" applyAlignment="1">
      <alignment horizontal="center" vertical="center"/>
    </xf>
    <xf numFmtId="0" fontId="15" fillId="2" borderId="1" xfId="3" applyFont="1" applyFill="1" applyBorder="1" applyAlignment="1">
      <alignment horizontal="center" vertical="center" wrapText="1"/>
    </xf>
    <xf numFmtId="0" fontId="15" fillId="2" borderId="5" xfId="3" applyFont="1" applyFill="1" applyBorder="1" applyAlignment="1">
      <alignment horizontal="center" vertical="center" wrapText="1"/>
    </xf>
    <xf numFmtId="0" fontId="15" fillId="2" borderId="6" xfId="3" applyFont="1" applyFill="1" applyBorder="1" applyAlignment="1">
      <alignment horizontal="center" vertical="center" wrapText="1"/>
    </xf>
    <xf numFmtId="0" fontId="15" fillId="2" borderId="7" xfId="3" applyFont="1" applyFill="1" applyBorder="1" applyAlignment="1">
      <alignment horizontal="center" vertical="center" wrapText="1"/>
    </xf>
    <xf numFmtId="0" fontId="18" fillId="3" borderId="1" xfId="3" applyFont="1" applyFill="1" applyBorder="1" applyAlignment="1">
      <alignment horizontal="center" vertical="center"/>
    </xf>
    <xf numFmtId="0" fontId="18" fillId="3" borderId="2" xfId="3" applyFont="1" applyFill="1" applyBorder="1" applyAlignment="1">
      <alignment horizontal="center" vertical="center"/>
    </xf>
    <xf numFmtId="0" fontId="18" fillId="3" borderId="6" xfId="3" applyFont="1" applyFill="1" applyBorder="1" applyAlignment="1">
      <alignment horizontal="center" vertical="center" wrapText="1"/>
    </xf>
    <xf numFmtId="0" fontId="18" fillId="3" borderId="7" xfId="3" applyFont="1" applyFill="1" applyBorder="1" applyAlignment="1">
      <alignment horizontal="center" vertical="center" wrapText="1"/>
    </xf>
    <xf numFmtId="0" fontId="6" fillId="2" borderId="5" xfId="1" applyFont="1" applyFill="1" applyBorder="1" applyAlignment="1">
      <alignment horizontal="center" vertical="center" wrapText="1"/>
    </xf>
    <xf numFmtId="0" fontId="6" fillId="3" borderId="2" xfId="2" applyFont="1" applyFill="1" applyBorder="1" applyAlignment="1">
      <alignment vertical="center" wrapText="1"/>
    </xf>
    <xf numFmtId="0" fontId="7" fillId="3" borderId="2" xfId="2" applyFont="1" applyFill="1" applyBorder="1" applyAlignment="1">
      <alignment vertical="center"/>
    </xf>
    <xf numFmtId="0" fontId="7" fillId="3" borderId="3" xfId="2" applyFont="1" applyFill="1" applyBorder="1" applyAlignment="1">
      <alignment vertical="center" wrapText="1"/>
    </xf>
    <xf numFmtId="0" fontId="6" fillId="3" borderId="4" xfId="2" applyFont="1" applyFill="1" applyBorder="1" applyAlignment="1">
      <alignment horizontal="left" vertical="center" wrapText="1"/>
    </xf>
    <xf numFmtId="0" fontId="6" fillId="3" borderId="2" xfId="2" applyFont="1" applyFill="1" applyBorder="1" applyAlignment="1">
      <alignment horizontal="left" vertical="center" wrapText="1"/>
    </xf>
    <xf numFmtId="0" fontId="6" fillId="3" borderId="5" xfId="2" applyFont="1" applyFill="1" applyBorder="1" applyAlignment="1">
      <alignment vertical="center" wrapText="1"/>
    </xf>
    <xf numFmtId="14" fontId="5" fillId="4" borderId="4" xfId="2" applyNumberFormat="1" applyFont="1" applyFill="1" applyBorder="1" applyAlignment="1">
      <alignment horizontal="left" vertical="center" wrapText="1"/>
    </xf>
    <xf numFmtId="14" fontId="5" fillId="4" borderId="2" xfId="2" applyNumberFormat="1" applyFont="1" applyFill="1" applyBorder="1" applyAlignment="1">
      <alignment horizontal="left" vertical="center" wrapText="1"/>
    </xf>
    <xf numFmtId="0" fontId="5" fillId="4" borderId="3" xfId="2" applyFont="1" applyFill="1" applyBorder="1" applyAlignment="1">
      <alignment horizontal="left" vertical="center" wrapText="1"/>
    </xf>
    <xf numFmtId="0" fontId="6" fillId="3" borderId="1" xfId="2" applyFont="1" applyFill="1" applyBorder="1" applyAlignment="1">
      <alignment vertical="center" wrapText="1"/>
    </xf>
    <xf numFmtId="0" fontId="5" fillId="4" borderId="2" xfId="2" applyFont="1" applyFill="1" applyBorder="1" applyAlignment="1">
      <alignment horizontal="left" vertical="center" wrapText="1"/>
    </xf>
    <xf numFmtId="0" fontId="5" fillId="4" borderId="3" xfId="2" applyFont="1" applyFill="1" applyBorder="1" applyAlignment="1">
      <alignment horizontal="center" vertical="center" wrapText="1"/>
    </xf>
    <xf numFmtId="0" fontId="14" fillId="0" borderId="0" xfId="0" applyFont="1" applyAlignment="1">
      <alignment vertical="center"/>
    </xf>
    <xf numFmtId="0" fontId="6" fillId="0" borderId="8" xfId="0" applyFont="1" applyBorder="1" applyAlignment="1">
      <alignment vertical="center"/>
    </xf>
    <xf numFmtId="0" fontId="12" fillId="0" borderId="0" xfId="0" applyFont="1" applyAlignment="1">
      <alignment vertical="center"/>
    </xf>
  </cellXfs>
  <cellStyles count="4">
    <cellStyle name="Normal" xfId="0" builtinId="0"/>
    <cellStyle name="Normal 2" xfId="1" xr:uid="{3A4B6587-ABF8-4D29-A5AF-A45CDAB7C3DA}"/>
    <cellStyle name="Normal 2 2" xfId="3" xr:uid="{9670AAB2-1984-441C-83BE-125A307BBCEB}"/>
    <cellStyle name="Normal_Sheet1" xfId="2" xr:uid="{FA4BFE87-FF0A-4E83-84EA-34DF0D4F56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trlProps/ctrlProp1.xml><?xml version="1.0" encoding="utf-8"?>
<formControlPr xmlns="http://schemas.microsoft.com/office/spreadsheetml/2009/9/main" objectType="Drop" dropStyle="combo" dx="26" sel="0" val="0"/>
</file>

<file path=xl/ctrlProps/ctrlProp2.xml><?xml version="1.0" encoding="utf-8"?>
<formControlPr xmlns="http://schemas.microsoft.com/office/spreadsheetml/2009/9/main" objectType="Drop" dropStyle="combo" dx="26" sel="0" val="0"/>
</file>

<file path=xl/drawings/drawing1.xml><?xml version="1.0" encoding="utf-8"?>
<xdr:wsDr xmlns:xdr="http://schemas.openxmlformats.org/drawingml/2006/spreadsheetDrawing" xmlns:a="http://schemas.openxmlformats.org/drawingml/2006/main">
  <xdr:twoCellAnchor editAs="oneCell">
    <xdr:from>
      <xdr:col>4</xdr:col>
      <xdr:colOff>1394460</xdr:colOff>
      <xdr:row>8</xdr:row>
      <xdr:rowOff>63500</xdr:rowOff>
    </xdr:from>
    <xdr:to>
      <xdr:col>5</xdr:col>
      <xdr:colOff>158288</xdr:colOff>
      <xdr:row>44</xdr:row>
      <xdr:rowOff>28315</xdr:rowOff>
    </xdr:to>
    <xdr:sp macro="" textlink="">
      <xdr:nvSpPr>
        <xdr:cNvPr id="2" name="Text Box 10" hidden="1">
          <a:extLst>
            <a:ext uri="{FF2B5EF4-FFF2-40B4-BE49-F238E27FC236}">
              <a16:creationId xmlns:a16="http://schemas.microsoft.com/office/drawing/2014/main" id="{121F89FF-9E4E-4069-BB9E-2DE02DC3A11E}"/>
            </a:ext>
          </a:extLst>
        </xdr:cNvPr>
        <xdr:cNvSpPr txBox="1">
          <a:spLocks noChangeArrowheads="1"/>
        </xdr:cNvSpPr>
      </xdr:nvSpPr>
      <xdr:spPr>
        <a:xfrm>
          <a:off x="9166860" y="2025650"/>
          <a:ext cx="2459528" cy="15042890"/>
        </a:xfrm>
        <a:prstGeom prst="rect">
          <a:avLst/>
        </a:prstGeom>
        <a:solidFill>
          <a:srgbClr val="ECECEC"/>
        </a:solidFill>
        <a:ln w="9360">
          <a:solidFill>
            <a:srgbClr val="000000"/>
          </a:solidFill>
          <a:miter lim="800000"/>
        </a:ln>
        <a:effectLst>
          <a:outerShdw dist="35921" dir="2700000" algn="ctr" rotWithShape="0">
            <a:srgbClr val="000000"/>
          </a:outerShdw>
        </a:effectLst>
      </xdr:spPr>
    </xdr:sp>
    <xdr:clientData fLocksWithSheet="0" fPrintsWithSheet="0"/>
  </xdr:twoCellAnchor>
  <mc:AlternateContent xmlns:mc="http://schemas.openxmlformats.org/markup-compatibility/2006">
    <mc:Choice xmlns:a14="http://schemas.microsoft.com/office/drawing/2010/main" Requires="a14">
      <xdr:twoCellAnchor>
        <xdr:from>
          <xdr:col>10</xdr:col>
          <xdr:colOff>0</xdr:colOff>
          <xdr:row>11</xdr:row>
          <xdr:rowOff>0</xdr:rowOff>
        </xdr:from>
        <xdr:to>
          <xdr:col>10</xdr:col>
          <xdr:colOff>0</xdr:colOff>
          <xdr:row>13</xdr:row>
          <xdr:rowOff>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297ECD50-204A-4A59-BC4D-EBDC78701382}"/>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0</xdr:colOff>
          <xdr:row>11</xdr:row>
          <xdr:rowOff>0</xdr:rowOff>
        </xdr:from>
        <xdr:to>
          <xdr:col>13</xdr:col>
          <xdr:colOff>0</xdr:colOff>
          <xdr:row>13</xdr:row>
          <xdr:rowOff>0</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972A7D76-B637-481B-865C-DC3AEABC8539}"/>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huy%20Tien\Documents\tc.xlsx" TargetMode="External"/><Relationship Id="rId1" Type="http://schemas.openxmlformats.org/officeDocument/2006/relationships/externalLinkPath" Target="/Users/Thuy%20Tien/Documents/t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QD_Add to Cart"/>
      <sheetName val="TC_AddToCart"/>
      <sheetName val="TC_Cart"/>
      <sheetName val="TC_checkout"/>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91782-066B-4B30-B709-968F1728FB23}">
  <dimension ref="B1:W21"/>
  <sheetViews>
    <sheetView tabSelected="1" zoomScale="49" zoomScaleNormal="55" workbookViewId="0">
      <selection activeCell="E8" sqref="E8"/>
    </sheetView>
  </sheetViews>
  <sheetFormatPr defaultColWidth="10.140625" defaultRowHeight="15"/>
  <cols>
    <col min="1" max="1" width="5" style="1" customWidth="1"/>
    <col min="2" max="2" width="25.28515625" style="1" customWidth="1"/>
    <col min="3" max="4" width="43.140625" style="1" customWidth="1"/>
    <col min="5" max="5" width="55.42578125" style="1" customWidth="1"/>
    <col min="6" max="6" width="79.140625" style="1" customWidth="1"/>
    <col min="7" max="7" width="61.42578125" style="1" customWidth="1"/>
    <col min="8" max="8" width="40.140625" style="1" customWidth="1"/>
    <col min="9" max="9" width="72.42578125" style="1" customWidth="1"/>
    <col min="10" max="10" width="19.85546875" style="1" customWidth="1"/>
    <col min="11" max="11" width="10.140625" style="1"/>
    <col min="12" max="12" width="16.42578125" style="1" customWidth="1"/>
    <col min="13" max="13" width="15.42578125" style="1" customWidth="1"/>
    <col min="14" max="16" width="10.140625" style="1"/>
    <col min="17" max="17" width="10.140625" style="2"/>
    <col min="18" max="16384" width="10.140625" style="1"/>
  </cols>
  <sheetData>
    <row r="1" spans="2:23" ht="15.75" thickBot="1"/>
    <row r="2" spans="2:23" ht="24" customHeight="1" thickBot="1">
      <c r="B2" s="3" t="s">
        <v>0</v>
      </c>
      <c r="C2" s="4" t="s">
        <v>417</v>
      </c>
      <c r="D2" s="4"/>
      <c r="E2" s="5"/>
      <c r="F2" s="5"/>
      <c r="G2" s="5"/>
      <c r="H2" s="6"/>
      <c r="J2" s="1" t="s">
        <v>4</v>
      </c>
    </row>
    <row r="3" spans="2:23" ht="19.5" thickBot="1">
      <c r="B3" s="3" t="s">
        <v>1</v>
      </c>
      <c r="C3" s="7" t="s">
        <v>411</v>
      </c>
      <c r="D3" s="8"/>
      <c r="E3" s="4"/>
      <c r="F3" s="4"/>
      <c r="G3" s="4"/>
      <c r="H3" s="6"/>
      <c r="J3" s="1" t="s">
        <v>5</v>
      </c>
    </row>
    <row r="4" spans="2:23" ht="21.95" customHeight="1" thickBot="1">
      <c r="B4" s="3" t="s">
        <v>2</v>
      </c>
      <c r="C4" s="9"/>
      <c r="D4" s="9"/>
      <c r="E4" s="10"/>
      <c r="F4" s="11"/>
      <c r="G4" s="11"/>
      <c r="H4" s="12"/>
      <c r="J4" s="1" t="s">
        <v>408</v>
      </c>
    </row>
    <row r="5" spans="2:23" ht="19.5" thickBot="1">
      <c r="B5" s="13" t="s">
        <v>3</v>
      </c>
      <c r="C5" s="4"/>
      <c r="D5" s="4"/>
      <c r="E5" s="14"/>
      <c r="F5" s="14"/>
      <c r="G5" s="14"/>
      <c r="H5" s="15"/>
      <c r="J5" s="1" t="s">
        <v>409</v>
      </c>
    </row>
    <row r="6" spans="2:23" ht="19.5" thickBot="1">
      <c r="B6" s="16" t="s">
        <v>4</v>
      </c>
      <c r="C6" s="17" t="s">
        <v>5</v>
      </c>
      <c r="D6" s="18"/>
      <c r="E6" s="19" t="s">
        <v>6</v>
      </c>
      <c r="F6" s="20"/>
      <c r="G6" s="20"/>
      <c r="H6" s="21"/>
    </row>
    <row r="7" spans="2:23" ht="19.5" thickBot="1">
      <c r="B7" s="22">
        <f>COUNTIF(H10:H925,"Passed")</f>
        <v>9</v>
      </c>
      <c r="C7" s="23">
        <f>COUNTIF(H13:H925,"Failed")</f>
        <v>0</v>
      </c>
      <c r="D7" s="24"/>
      <c r="E7" s="25">
        <f>COUNTIF(B:B,"TC_*")</f>
        <v>9</v>
      </c>
      <c r="F7" s="26"/>
      <c r="G7" s="26"/>
      <c r="H7" s="27"/>
    </row>
    <row r="10" spans="2:23" ht="56.25">
      <c r="B10" s="28" t="s">
        <v>7</v>
      </c>
      <c r="C10" s="28" t="s">
        <v>8</v>
      </c>
      <c r="D10" s="28" t="s">
        <v>9</v>
      </c>
      <c r="E10" s="28" t="s">
        <v>10</v>
      </c>
      <c r="F10" s="28" t="s">
        <v>11</v>
      </c>
      <c r="G10" s="28" t="s">
        <v>12</v>
      </c>
      <c r="H10" s="28" t="s">
        <v>13</v>
      </c>
      <c r="I10" s="28" t="s">
        <v>14</v>
      </c>
      <c r="J10" s="28" t="s">
        <v>15</v>
      </c>
      <c r="K10" s="28" t="s">
        <v>16</v>
      </c>
      <c r="L10" s="28" t="s">
        <v>13</v>
      </c>
      <c r="M10" s="28" t="s">
        <v>15</v>
      </c>
      <c r="N10" s="28" t="s">
        <v>16</v>
      </c>
      <c r="O10" s="29" t="s">
        <v>17</v>
      </c>
      <c r="P10" s="29" t="s">
        <v>18</v>
      </c>
      <c r="Q10" s="29" t="s">
        <v>19</v>
      </c>
      <c r="R10" s="29" t="s">
        <v>20</v>
      </c>
      <c r="S10" s="29"/>
      <c r="T10" s="29" t="s">
        <v>21</v>
      </c>
      <c r="U10" s="30" t="s">
        <v>22</v>
      </c>
      <c r="V10" s="29" t="s">
        <v>23</v>
      </c>
      <c r="W10" s="29" t="s">
        <v>24</v>
      </c>
    </row>
    <row r="11" spans="2:23" ht="18.75">
      <c r="B11" s="31" t="s">
        <v>25</v>
      </c>
      <c r="C11" s="32"/>
      <c r="D11" s="32"/>
      <c r="E11" s="32"/>
      <c r="F11" s="32"/>
      <c r="G11" s="32"/>
      <c r="H11" s="32"/>
      <c r="I11" s="32"/>
      <c r="J11" s="32"/>
      <c r="K11" s="32"/>
      <c r="L11" s="32"/>
      <c r="M11" s="32"/>
      <c r="N11" s="32"/>
      <c r="O11" s="32"/>
      <c r="P11" s="32"/>
      <c r="Q11" s="32"/>
      <c r="R11" s="32"/>
      <c r="S11" s="32"/>
      <c r="T11" s="32"/>
      <c r="U11" s="32"/>
      <c r="V11" s="32"/>
      <c r="W11" s="33"/>
    </row>
    <row r="12" spans="2:23" ht="85.5" customHeight="1">
      <c r="B12" s="34" t="s">
        <v>26</v>
      </c>
      <c r="C12" s="34" t="s">
        <v>27</v>
      </c>
      <c r="D12" s="34" t="s">
        <v>28</v>
      </c>
      <c r="E12" s="35" t="s">
        <v>29</v>
      </c>
      <c r="F12" s="35" t="s">
        <v>30</v>
      </c>
      <c r="G12" s="35" t="s">
        <v>30</v>
      </c>
      <c r="H12" s="34" t="s">
        <v>4</v>
      </c>
      <c r="I12" s="35"/>
      <c r="J12" s="36"/>
      <c r="K12" s="34"/>
      <c r="L12" s="34"/>
      <c r="M12" s="34"/>
      <c r="N12" s="34"/>
      <c r="O12" s="37"/>
      <c r="P12" s="37"/>
      <c r="Q12" s="38"/>
      <c r="R12" s="37"/>
      <c r="S12" s="37"/>
      <c r="T12" s="37"/>
      <c r="U12" s="37"/>
      <c r="V12" s="37"/>
      <c r="W12" s="37"/>
    </row>
    <row r="13" spans="2:23" ht="18.75">
      <c r="B13" s="39"/>
      <c r="C13" s="40"/>
      <c r="D13" s="40"/>
      <c r="E13" s="40"/>
      <c r="F13" s="40"/>
      <c r="G13" s="40"/>
      <c r="H13" s="40"/>
      <c r="I13" s="40"/>
      <c r="J13" s="40"/>
      <c r="K13" s="40"/>
      <c r="L13" s="40"/>
      <c r="M13" s="40"/>
      <c r="N13" s="40"/>
      <c r="O13" s="40"/>
      <c r="P13" s="40"/>
      <c r="Q13" s="40"/>
      <c r="R13" s="40"/>
      <c r="S13" s="40"/>
      <c r="T13" s="40"/>
      <c r="U13" s="40"/>
      <c r="V13" s="40"/>
      <c r="W13" s="41"/>
    </row>
    <row r="14" spans="2:23" ht="118.5" customHeight="1">
      <c r="B14" s="34" t="s">
        <v>31</v>
      </c>
      <c r="C14" s="34" t="s">
        <v>32</v>
      </c>
      <c r="D14" s="34" t="s">
        <v>33</v>
      </c>
      <c r="E14" s="42" t="s">
        <v>34</v>
      </c>
      <c r="F14" s="43" t="s">
        <v>35</v>
      </c>
      <c r="G14" s="35" t="s">
        <v>35</v>
      </c>
      <c r="H14" s="34" t="s">
        <v>4</v>
      </c>
      <c r="I14" s="34"/>
      <c r="J14" s="36"/>
      <c r="K14" s="34"/>
      <c r="L14" s="34"/>
      <c r="M14" s="34"/>
      <c r="N14" s="34"/>
      <c r="O14" s="44"/>
      <c r="P14" s="44"/>
      <c r="Q14" s="45"/>
      <c r="R14" s="44"/>
      <c r="S14" s="44"/>
      <c r="T14" s="44"/>
      <c r="U14" s="44"/>
      <c r="V14" s="44"/>
      <c r="W14" s="44"/>
    </row>
    <row r="15" spans="2:23" ht="99" customHeight="1">
      <c r="B15" s="34" t="s">
        <v>36</v>
      </c>
      <c r="C15" s="34" t="s">
        <v>37</v>
      </c>
      <c r="D15" s="34"/>
      <c r="E15" s="34" t="s">
        <v>38</v>
      </c>
      <c r="F15" s="34" t="s">
        <v>39</v>
      </c>
      <c r="G15" s="34" t="s">
        <v>39</v>
      </c>
      <c r="H15" s="34" t="s">
        <v>4</v>
      </c>
      <c r="I15" s="46"/>
      <c r="J15" s="36"/>
      <c r="K15" s="34"/>
      <c r="L15" s="34"/>
      <c r="M15" s="34"/>
      <c r="N15" s="34"/>
      <c r="O15" s="44"/>
      <c r="P15" s="44"/>
      <c r="Q15" s="45"/>
      <c r="R15" s="44"/>
      <c r="S15" s="44"/>
      <c r="T15" s="44"/>
      <c r="U15" s="44"/>
      <c r="V15" s="44"/>
      <c r="W15" s="44"/>
    </row>
    <row r="16" spans="2:23" ht="93.75">
      <c r="B16" s="34" t="s">
        <v>40</v>
      </c>
      <c r="C16" s="34" t="s">
        <v>41</v>
      </c>
      <c r="D16" s="34" t="s">
        <v>42</v>
      </c>
      <c r="E16" s="35" t="s">
        <v>43</v>
      </c>
      <c r="F16" s="35" t="s">
        <v>44</v>
      </c>
      <c r="G16" s="35" t="s">
        <v>44</v>
      </c>
      <c r="H16" s="34" t="s">
        <v>4</v>
      </c>
      <c r="I16" s="35"/>
      <c r="J16" s="36"/>
      <c r="K16" s="34"/>
      <c r="L16" s="34"/>
      <c r="M16" s="34"/>
      <c r="N16" s="34"/>
      <c r="O16" s="37"/>
      <c r="P16" s="37"/>
      <c r="Q16" s="45"/>
      <c r="R16" s="37"/>
      <c r="S16" s="37"/>
      <c r="T16" s="37"/>
      <c r="U16" s="37"/>
      <c r="V16" s="37"/>
      <c r="W16" s="37"/>
    </row>
    <row r="17" spans="2:23" ht="75">
      <c r="B17" s="34" t="s">
        <v>45</v>
      </c>
      <c r="C17" s="34" t="s">
        <v>46</v>
      </c>
      <c r="D17" s="34" t="s">
        <v>47</v>
      </c>
      <c r="E17" s="35" t="s">
        <v>48</v>
      </c>
      <c r="F17" s="35" t="s">
        <v>49</v>
      </c>
      <c r="G17" s="35" t="s">
        <v>49</v>
      </c>
      <c r="H17" s="34" t="s">
        <v>4</v>
      </c>
      <c r="I17" s="35"/>
      <c r="J17" s="36"/>
      <c r="K17" s="34"/>
      <c r="L17" s="34"/>
      <c r="M17" s="34"/>
      <c r="N17" s="34"/>
      <c r="O17" s="37"/>
      <c r="P17" s="37"/>
      <c r="Q17" s="45"/>
      <c r="R17" s="37"/>
      <c r="S17" s="37"/>
      <c r="T17" s="37"/>
      <c r="U17" s="37"/>
      <c r="V17" s="37"/>
      <c r="W17" s="37"/>
    </row>
    <row r="18" spans="2:23" ht="75">
      <c r="B18" s="34" t="s">
        <v>50</v>
      </c>
      <c r="C18" s="34" t="s">
        <v>51</v>
      </c>
      <c r="D18" s="34" t="s">
        <v>52</v>
      </c>
      <c r="E18" s="35" t="s">
        <v>53</v>
      </c>
      <c r="F18" s="34" t="s">
        <v>54</v>
      </c>
      <c r="G18" s="35" t="s">
        <v>54</v>
      </c>
      <c r="H18" s="34" t="s">
        <v>4</v>
      </c>
      <c r="I18" s="35"/>
      <c r="J18" s="36"/>
      <c r="K18" s="34"/>
      <c r="L18" s="34"/>
      <c r="M18" s="34"/>
      <c r="N18" s="34"/>
      <c r="O18" s="37"/>
      <c r="P18" s="37"/>
      <c r="Q18" s="45"/>
      <c r="R18" s="37"/>
      <c r="S18" s="37"/>
      <c r="T18" s="37"/>
      <c r="U18" s="37"/>
      <c r="V18" s="37"/>
      <c r="W18" s="37"/>
    </row>
    <row r="19" spans="2:23" ht="56.25">
      <c r="B19" s="34" t="s">
        <v>55</v>
      </c>
      <c r="C19" s="34" t="s">
        <v>56</v>
      </c>
      <c r="D19" s="34" t="s">
        <v>57</v>
      </c>
      <c r="E19" s="35" t="s">
        <v>58</v>
      </c>
      <c r="F19" s="34" t="s">
        <v>54</v>
      </c>
      <c r="G19" s="35" t="s">
        <v>54</v>
      </c>
      <c r="H19" s="34" t="s">
        <v>4</v>
      </c>
      <c r="I19" s="35"/>
      <c r="J19" s="36"/>
      <c r="K19" s="34"/>
      <c r="L19" s="34"/>
      <c r="M19" s="34"/>
      <c r="N19" s="34"/>
      <c r="O19" s="37"/>
      <c r="P19" s="37"/>
      <c r="Q19" s="45"/>
      <c r="R19" s="37"/>
      <c r="S19" s="37"/>
      <c r="T19" s="37"/>
      <c r="U19" s="37"/>
      <c r="V19" s="37"/>
      <c r="W19" s="37"/>
    </row>
    <row r="20" spans="2:23" ht="75">
      <c r="B20" s="34" t="s">
        <v>59</v>
      </c>
      <c r="C20" s="34" t="s">
        <v>60</v>
      </c>
      <c r="D20" s="34" t="s">
        <v>61</v>
      </c>
      <c r="E20" s="35" t="s">
        <v>62</v>
      </c>
      <c r="F20" s="34" t="s">
        <v>63</v>
      </c>
      <c r="G20" s="34" t="s">
        <v>63</v>
      </c>
      <c r="H20" s="34" t="s">
        <v>4</v>
      </c>
      <c r="I20" s="35"/>
      <c r="J20" s="36"/>
      <c r="K20" s="34"/>
      <c r="L20" s="34"/>
      <c r="M20" s="34"/>
      <c r="N20" s="34"/>
      <c r="O20" s="37"/>
      <c r="P20" s="37"/>
      <c r="Q20" s="45"/>
      <c r="R20" s="37"/>
      <c r="S20" s="37"/>
      <c r="T20" s="37"/>
      <c r="U20" s="37"/>
      <c r="V20" s="37"/>
      <c r="W20" s="37"/>
    </row>
    <row r="21" spans="2:23" ht="56.25">
      <c r="B21" s="34" t="s">
        <v>64</v>
      </c>
      <c r="C21" s="34" t="s">
        <v>65</v>
      </c>
      <c r="D21" s="34" t="s">
        <v>66</v>
      </c>
      <c r="E21" s="35" t="s">
        <v>67</v>
      </c>
      <c r="F21" s="34" t="s">
        <v>68</v>
      </c>
      <c r="G21" s="34" t="s">
        <v>68</v>
      </c>
      <c r="H21" s="34" t="s">
        <v>4</v>
      </c>
      <c r="I21" s="35"/>
      <c r="J21" s="36"/>
      <c r="K21" s="34"/>
      <c r="L21" s="34"/>
      <c r="M21" s="34"/>
      <c r="N21" s="34"/>
      <c r="O21" s="47"/>
      <c r="P21" s="47"/>
      <c r="Q21" s="45"/>
      <c r="R21" s="47"/>
      <c r="S21" s="47"/>
      <c r="T21" s="47"/>
      <c r="U21" s="47"/>
      <c r="V21" s="47"/>
      <c r="W21" s="47"/>
    </row>
  </sheetData>
  <mergeCells count="5">
    <mergeCell ref="E4:H4"/>
    <mergeCell ref="E6:H6"/>
    <mergeCell ref="E7:H7"/>
    <mergeCell ref="B11:W11"/>
    <mergeCell ref="B13:W13"/>
  </mergeCells>
  <dataValidations count="3">
    <dataValidation type="list" allowBlank="1" showErrorMessage="1" sqref="H2" xr:uid="{7191B0AA-C4A3-4D6B-BA0E-1040443F5EDA}">
      <formula1>$O$2:$O$7</formula1>
    </dataValidation>
    <dataValidation type="list" allowBlank="1" showErrorMessage="1" sqref="H3" xr:uid="{3F8C706A-065F-431D-80E1-7D76BD2DC879}">
      <formula1>$O$2:$O$6</formula1>
    </dataValidation>
    <dataValidation type="list" allowBlank="1" showInputMessage="1" showErrorMessage="1" sqref="H12 H14:H21" xr:uid="{848C2D1D-6F45-43D5-8848-9666F431E483}">
      <formula1>$J$2:$J$5</formula1>
    </dataValidation>
  </dataValidations>
  <pageMargins left="0.75" right="0.75" top="1" bottom="1" header="0.5" footer="0.5"/>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print="0" autoPict="0">
                <anchor moveWithCells="1" sizeWithCells="1">
                  <from>
                    <xdr:col>10</xdr:col>
                    <xdr:colOff>0</xdr:colOff>
                    <xdr:row>11</xdr:row>
                    <xdr:rowOff>0</xdr:rowOff>
                  </from>
                  <to>
                    <xdr:col>10</xdr:col>
                    <xdr:colOff>0</xdr:colOff>
                    <xdr:row>13</xdr:row>
                    <xdr:rowOff>0</xdr:rowOff>
                  </to>
                </anchor>
              </controlPr>
            </control>
          </mc:Choice>
        </mc:AlternateContent>
        <mc:AlternateContent xmlns:mc="http://schemas.openxmlformats.org/markup-compatibility/2006">
          <mc:Choice Requires="x14">
            <control shapeId="1026" r:id="rId4" name="Drop Down 2">
              <controlPr defaultSize="0" print="0" autoPict="0">
                <anchor moveWithCells="1" sizeWithCells="1">
                  <from>
                    <xdr:col>13</xdr:col>
                    <xdr:colOff>0</xdr:colOff>
                    <xdr:row>11</xdr:row>
                    <xdr:rowOff>0</xdr:rowOff>
                  </from>
                  <to>
                    <xdr:col>13</xdr:col>
                    <xdr:colOff>0</xdr:colOff>
                    <xdr:row>13</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34A7-CB0E-4C41-BF63-747785D5ED2B}">
  <dimension ref="B1:N47"/>
  <sheetViews>
    <sheetView zoomScale="63" zoomScaleNormal="100" workbookViewId="0">
      <selection activeCell="E7" sqref="E7:H7"/>
    </sheetView>
  </sheetViews>
  <sheetFormatPr defaultRowHeight="15"/>
  <cols>
    <col min="1" max="1" width="2.140625" style="49" customWidth="1"/>
    <col min="2" max="2" width="25.7109375" style="49" customWidth="1"/>
    <col min="3" max="3" width="57.7109375" style="49" customWidth="1"/>
    <col min="4" max="4" width="42.28515625" style="49" customWidth="1"/>
    <col min="5" max="5" width="47.5703125" style="49" bestFit="1" customWidth="1"/>
    <col min="6" max="6" width="47.42578125" style="49" customWidth="1"/>
    <col min="7" max="7" width="43.42578125" style="49" customWidth="1"/>
    <col min="8" max="8" width="17" style="49" customWidth="1"/>
    <col min="9" max="9" width="13.140625" style="49" customWidth="1"/>
    <col min="10" max="16384" width="9.140625" style="49"/>
  </cols>
  <sheetData>
    <row r="1" spans="2:14" ht="15.75" thickBot="1"/>
    <row r="2" spans="2:14" ht="19.5" thickBot="1">
      <c r="B2" s="3" t="s">
        <v>0</v>
      </c>
      <c r="C2" s="86" t="s">
        <v>416</v>
      </c>
      <c r="D2" s="86"/>
      <c r="E2" s="87"/>
      <c r="F2" s="87"/>
      <c r="G2" s="87"/>
      <c r="H2" s="88"/>
      <c r="M2" s="49" t="s">
        <v>4</v>
      </c>
    </row>
    <row r="3" spans="2:14" ht="19.5" thickBot="1">
      <c r="B3" s="3" t="s">
        <v>1</v>
      </c>
      <c r="C3" s="89" t="s">
        <v>411</v>
      </c>
      <c r="D3" s="90"/>
      <c r="E3" s="86"/>
      <c r="F3" s="86"/>
      <c r="G3" s="86"/>
      <c r="H3" s="88"/>
      <c r="M3" s="49" t="s">
        <v>5</v>
      </c>
    </row>
    <row r="4" spans="2:14" ht="19.5" thickBot="1">
      <c r="B4" s="3" t="s">
        <v>2</v>
      </c>
      <c r="C4" s="91"/>
      <c r="E4" s="92"/>
      <c r="F4" s="93"/>
      <c r="G4" s="93"/>
      <c r="H4" s="94"/>
      <c r="M4" s="49" t="s">
        <v>408</v>
      </c>
    </row>
    <row r="5" spans="2:14" ht="38.25" thickBot="1">
      <c r="B5" s="3" t="s">
        <v>3</v>
      </c>
      <c r="C5" s="86"/>
      <c r="D5" s="95"/>
      <c r="E5" s="96"/>
      <c r="F5" s="96"/>
      <c r="G5" s="96"/>
      <c r="H5" s="97"/>
      <c r="M5" s="49" t="s">
        <v>409</v>
      </c>
    </row>
    <row r="6" spans="2:14" ht="19.5" thickBot="1">
      <c r="B6" s="16" t="s">
        <v>4</v>
      </c>
      <c r="C6" s="17" t="s">
        <v>5</v>
      </c>
      <c r="D6" s="85"/>
      <c r="E6" s="19" t="s">
        <v>6</v>
      </c>
      <c r="F6" s="20"/>
      <c r="G6" s="20"/>
      <c r="H6" s="21"/>
    </row>
    <row r="7" spans="2:14" ht="19.5" thickBot="1">
      <c r="B7" s="22">
        <f>COUNTIF(H11:H925,"Passed")</f>
        <v>34</v>
      </c>
      <c r="C7" s="23">
        <f>COUNTIF(H13:H925,"Failed")</f>
        <v>1</v>
      </c>
      <c r="D7" s="24"/>
      <c r="E7" s="25">
        <f>COUNTIF(B:B,"TC_*")</f>
        <v>35</v>
      </c>
      <c r="F7" s="26"/>
      <c r="G7" s="26"/>
      <c r="H7" s="27"/>
    </row>
    <row r="9" spans="2:14" ht="18.75">
      <c r="B9" s="98"/>
      <c r="C9" s="98"/>
      <c r="D9" s="98"/>
      <c r="E9" s="98"/>
      <c r="F9" s="98"/>
      <c r="G9" s="98"/>
      <c r="H9" s="98"/>
      <c r="I9" s="98"/>
      <c r="J9" s="98"/>
      <c r="K9" s="98"/>
      <c r="L9" s="98"/>
      <c r="M9" s="98"/>
      <c r="N9" s="98"/>
    </row>
    <row r="10" spans="2:14" ht="37.5">
      <c r="B10" s="28" t="s">
        <v>7</v>
      </c>
      <c r="C10" s="28" t="s">
        <v>8</v>
      </c>
      <c r="D10" s="28" t="s">
        <v>9</v>
      </c>
      <c r="E10" s="28" t="s">
        <v>10</v>
      </c>
      <c r="F10" s="28" t="s">
        <v>11</v>
      </c>
      <c r="G10" s="28" t="s">
        <v>12</v>
      </c>
      <c r="H10" s="28" t="s">
        <v>13</v>
      </c>
      <c r="I10" s="28" t="s">
        <v>14</v>
      </c>
      <c r="J10" s="28" t="s">
        <v>15</v>
      </c>
      <c r="K10" s="28" t="s">
        <v>16</v>
      </c>
      <c r="L10" s="28" t="s">
        <v>13</v>
      </c>
      <c r="M10" s="28" t="s">
        <v>15</v>
      </c>
      <c r="N10" s="28" t="s">
        <v>16</v>
      </c>
    </row>
    <row r="11" spans="2:14" ht="57" customHeight="1">
      <c r="B11" s="58" t="s">
        <v>373</v>
      </c>
      <c r="C11" s="58" t="s">
        <v>69</v>
      </c>
      <c r="D11" s="58"/>
      <c r="E11" s="58" t="s">
        <v>70</v>
      </c>
      <c r="F11" s="58" t="s">
        <v>71</v>
      </c>
      <c r="G11" s="60"/>
      <c r="H11" s="60" t="s">
        <v>4</v>
      </c>
      <c r="I11" s="60"/>
      <c r="J11" s="60"/>
      <c r="K11" s="60"/>
      <c r="L11" s="60"/>
      <c r="M11" s="60"/>
      <c r="N11" s="60"/>
    </row>
    <row r="12" spans="2:14" ht="56.25">
      <c r="B12" s="58" t="s">
        <v>374</v>
      </c>
      <c r="C12" s="58" t="s">
        <v>72</v>
      </c>
      <c r="D12" s="58" t="s">
        <v>73</v>
      </c>
      <c r="E12" s="58" t="s">
        <v>74</v>
      </c>
      <c r="F12" s="58" t="s">
        <v>75</v>
      </c>
      <c r="G12" s="60"/>
      <c r="H12" s="60" t="s">
        <v>4</v>
      </c>
      <c r="I12" s="60"/>
      <c r="J12" s="60"/>
      <c r="K12" s="60"/>
      <c r="L12" s="60"/>
      <c r="M12" s="60"/>
      <c r="N12" s="60"/>
    </row>
    <row r="13" spans="2:14" ht="75">
      <c r="B13" s="58" t="s">
        <v>375</v>
      </c>
      <c r="C13" s="58" t="s">
        <v>76</v>
      </c>
      <c r="D13" s="58" t="s">
        <v>77</v>
      </c>
      <c r="E13" s="58" t="s">
        <v>74</v>
      </c>
      <c r="F13" s="58" t="s">
        <v>78</v>
      </c>
      <c r="G13" s="60"/>
      <c r="H13" s="60" t="s">
        <v>4</v>
      </c>
      <c r="I13" s="60"/>
      <c r="J13" s="60"/>
      <c r="K13" s="60"/>
      <c r="L13" s="60"/>
      <c r="M13" s="60"/>
      <c r="N13" s="60"/>
    </row>
    <row r="14" spans="2:14" ht="56.25">
      <c r="B14" s="58" t="s">
        <v>376</v>
      </c>
      <c r="C14" s="58" t="s">
        <v>79</v>
      </c>
      <c r="D14" s="58" t="s">
        <v>77</v>
      </c>
      <c r="E14" s="58" t="s">
        <v>74</v>
      </c>
      <c r="F14" s="58" t="s">
        <v>80</v>
      </c>
      <c r="G14" s="60"/>
      <c r="H14" s="60" t="s">
        <v>4</v>
      </c>
      <c r="I14" s="60"/>
      <c r="J14" s="60"/>
      <c r="K14" s="60"/>
      <c r="L14" s="60"/>
      <c r="M14" s="60"/>
      <c r="N14" s="60"/>
    </row>
    <row r="15" spans="2:14" ht="56.25">
      <c r="B15" s="58" t="s">
        <v>377</v>
      </c>
      <c r="C15" s="58" t="s">
        <v>81</v>
      </c>
      <c r="D15" s="58" t="s">
        <v>77</v>
      </c>
      <c r="E15" s="58" t="s">
        <v>82</v>
      </c>
      <c r="F15" s="58" t="s">
        <v>83</v>
      </c>
      <c r="G15" s="60"/>
      <c r="H15" s="60" t="s">
        <v>4</v>
      </c>
      <c r="I15" s="60"/>
      <c r="J15" s="60"/>
      <c r="K15" s="60"/>
      <c r="L15" s="60"/>
      <c r="M15" s="60"/>
      <c r="N15" s="60"/>
    </row>
    <row r="16" spans="2:14" s="100" customFormat="1" ht="56.25">
      <c r="B16" s="58" t="s">
        <v>378</v>
      </c>
      <c r="C16" s="59" t="s">
        <v>84</v>
      </c>
      <c r="D16" s="59" t="s">
        <v>77</v>
      </c>
      <c r="E16" s="60" t="s">
        <v>85</v>
      </c>
      <c r="F16" s="59" t="s">
        <v>86</v>
      </c>
      <c r="G16" s="99"/>
      <c r="H16" s="60" t="s">
        <v>4</v>
      </c>
      <c r="I16" s="99"/>
      <c r="J16" s="99"/>
      <c r="K16" s="99"/>
      <c r="L16" s="99"/>
      <c r="M16" s="99"/>
      <c r="N16" s="99"/>
    </row>
    <row r="17" spans="2:14" ht="56.25">
      <c r="B17" s="58" t="s">
        <v>379</v>
      </c>
      <c r="C17" s="61" t="s">
        <v>87</v>
      </c>
      <c r="D17" s="59" t="s">
        <v>77</v>
      </c>
      <c r="E17" s="58" t="s">
        <v>88</v>
      </c>
      <c r="F17" s="58" t="s">
        <v>89</v>
      </c>
      <c r="G17" s="60"/>
      <c r="H17" s="60" t="s">
        <v>4</v>
      </c>
      <c r="I17" s="60"/>
      <c r="J17" s="60"/>
      <c r="K17" s="60"/>
      <c r="L17" s="60"/>
      <c r="M17" s="60"/>
      <c r="N17" s="60"/>
    </row>
    <row r="18" spans="2:14" ht="75" customHeight="1">
      <c r="B18" s="58" t="s">
        <v>380</v>
      </c>
      <c r="C18" s="58" t="s">
        <v>90</v>
      </c>
      <c r="D18" s="58" t="s">
        <v>77</v>
      </c>
      <c r="E18" s="58" t="s">
        <v>91</v>
      </c>
      <c r="F18" s="58" t="s">
        <v>92</v>
      </c>
      <c r="G18" s="58" t="s">
        <v>418</v>
      </c>
      <c r="H18" s="60" t="s">
        <v>5</v>
      </c>
      <c r="I18" s="60"/>
      <c r="J18" s="60"/>
      <c r="K18" s="60"/>
      <c r="L18" s="60"/>
      <c r="M18" s="60"/>
      <c r="N18" s="60"/>
    </row>
    <row r="19" spans="2:14" ht="56.25">
      <c r="B19" s="58" t="s">
        <v>381</v>
      </c>
      <c r="C19" s="58" t="s">
        <v>93</v>
      </c>
      <c r="D19" s="58" t="s">
        <v>77</v>
      </c>
      <c r="E19" s="58" t="s">
        <v>94</v>
      </c>
      <c r="F19" s="58" t="s">
        <v>92</v>
      </c>
      <c r="G19" s="60"/>
      <c r="H19" s="60" t="s">
        <v>4</v>
      </c>
      <c r="I19" s="60"/>
      <c r="J19" s="60"/>
      <c r="K19" s="60"/>
      <c r="L19" s="60"/>
      <c r="M19" s="60"/>
      <c r="N19" s="60"/>
    </row>
    <row r="20" spans="2:14" ht="56.25">
      <c r="B20" s="58" t="s">
        <v>382</v>
      </c>
      <c r="C20" s="58" t="s">
        <v>95</v>
      </c>
      <c r="D20" s="58" t="s">
        <v>77</v>
      </c>
      <c r="E20" s="58" t="s">
        <v>96</v>
      </c>
      <c r="F20" s="58" t="s">
        <v>92</v>
      </c>
      <c r="G20" s="60"/>
      <c r="H20" s="60" t="s">
        <v>4</v>
      </c>
      <c r="I20" s="60"/>
      <c r="J20" s="60"/>
      <c r="K20" s="60"/>
      <c r="L20" s="60"/>
      <c r="M20" s="60"/>
      <c r="N20" s="60"/>
    </row>
    <row r="21" spans="2:14" ht="56.25">
      <c r="B21" s="58" t="s">
        <v>383</v>
      </c>
      <c r="C21" s="58" t="s">
        <v>97</v>
      </c>
      <c r="D21" s="58" t="s">
        <v>77</v>
      </c>
      <c r="E21" s="58" t="s">
        <v>98</v>
      </c>
      <c r="F21" s="58" t="s">
        <v>99</v>
      </c>
      <c r="G21" s="60"/>
      <c r="H21" s="60" t="s">
        <v>4</v>
      </c>
      <c r="I21" s="60"/>
      <c r="J21" s="60"/>
      <c r="K21" s="60"/>
      <c r="L21" s="60"/>
      <c r="M21" s="60"/>
      <c r="N21" s="60"/>
    </row>
    <row r="22" spans="2:14" ht="37.5">
      <c r="B22" s="58" t="s">
        <v>384</v>
      </c>
      <c r="C22" s="58" t="s">
        <v>100</v>
      </c>
      <c r="D22" s="58" t="s">
        <v>101</v>
      </c>
      <c r="E22" s="58" t="s">
        <v>102</v>
      </c>
      <c r="F22" s="58" t="s">
        <v>103</v>
      </c>
      <c r="G22" s="60"/>
      <c r="H22" s="60" t="s">
        <v>4</v>
      </c>
      <c r="I22" s="60"/>
      <c r="J22" s="60"/>
      <c r="K22" s="60"/>
      <c r="L22" s="60"/>
      <c r="M22" s="60"/>
      <c r="N22" s="60"/>
    </row>
    <row r="23" spans="2:14" ht="75">
      <c r="B23" s="58" t="s">
        <v>385</v>
      </c>
      <c r="C23" s="58" t="s">
        <v>104</v>
      </c>
      <c r="D23" s="60" t="s">
        <v>105</v>
      </c>
      <c r="E23" s="58" t="s">
        <v>106</v>
      </c>
      <c r="F23" s="58" t="s">
        <v>107</v>
      </c>
      <c r="G23" s="60"/>
      <c r="H23" s="60" t="s">
        <v>4</v>
      </c>
      <c r="I23" s="60"/>
      <c r="J23" s="60"/>
      <c r="K23" s="60"/>
      <c r="L23" s="60"/>
      <c r="M23" s="60"/>
      <c r="N23" s="60"/>
    </row>
    <row r="24" spans="2:14" ht="75">
      <c r="B24" s="58" t="s">
        <v>386</v>
      </c>
      <c r="C24" s="58" t="s">
        <v>108</v>
      </c>
      <c r="D24" s="58" t="s">
        <v>77</v>
      </c>
      <c r="E24" s="58" t="s">
        <v>109</v>
      </c>
      <c r="F24" s="58" t="s">
        <v>110</v>
      </c>
      <c r="G24" s="60"/>
      <c r="H24" s="60" t="s">
        <v>4</v>
      </c>
      <c r="I24" s="60"/>
      <c r="J24" s="60"/>
      <c r="K24" s="60"/>
      <c r="L24" s="60"/>
      <c r="M24" s="60"/>
      <c r="N24" s="60"/>
    </row>
    <row r="25" spans="2:14" ht="75">
      <c r="B25" s="58" t="s">
        <v>387</v>
      </c>
      <c r="C25" s="58" t="s">
        <v>111</v>
      </c>
      <c r="D25" s="58" t="s">
        <v>77</v>
      </c>
      <c r="E25" s="58" t="s">
        <v>112</v>
      </c>
      <c r="F25" s="58" t="s">
        <v>113</v>
      </c>
      <c r="G25" s="60"/>
      <c r="H25" s="60" t="s">
        <v>4</v>
      </c>
      <c r="I25" s="60"/>
      <c r="J25" s="60"/>
      <c r="K25" s="60"/>
      <c r="L25" s="60"/>
      <c r="M25" s="60"/>
      <c r="N25" s="60"/>
    </row>
    <row r="26" spans="2:14" ht="56.25">
      <c r="B26" s="58" t="s">
        <v>388</v>
      </c>
      <c r="C26" s="58" t="s">
        <v>114</v>
      </c>
      <c r="D26" s="58" t="s">
        <v>77</v>
      </c>
      <c r="E26" s="58" t="s">
        <v>115</v>
      </c>
      <c r="F26" s="58" t="s">
        <v>116</v>
      </c>
      <c r="G26" s="60"/>
      <c r="H26" s="60" t="s">
        <v>4</v>
      </c>
      <c r="I26" s="60"/>
      <c r="J26" s="60"/>
      <c r="K26" s="60"/>
      <c r="L26" s="60"/>
      <c r="M26" s="60"/>
      <c r="N26" s="60"/>
    </row>
    <row r="27" spans="2:14" ht="56.25">
      <c r="B27" s="58" t="s">
        <v>389</v>
      </c>
      <c r="C27" s="58" t="s">
        <v>117</v>
      </c>
      <c r="D27" s="58" t="s">
        <v>77</v>
      </c>
      <c r="E27" s="58" t="s">
        <v>118</v>
      </c>
      <c r="F27" s="58" t="s">
        <v>119</v>
      </c>
      <c r="G27" s="60"/>
      <c r="H27" s="60" t="s">
        <v>4</v>
      </c>
      <c r="I27" s="60"/>
      <c r="J27" s="60"/>
      <c r="K27" s="60"/>
      <c r="L27" s="60"/>
      <c r="M27" s="60"/>
      <c r="N27" s="60"/>
    </row>
    <row r="28" spans="2:14" ht="150">
      <c r="B28" s="58" t="s">
        <v>390</v>
      </c>
      <c r="C28" s="58" t="s">
        <v>120</v>
      </c>
      <c r="D28" s="58" t="s">
        <v>77</v>
      </c>
      <c r="E28" s="58" t="s">
        <v>121</v>
      </c>
      <c r="F28" s="58" t="s">
        <v>122</v>
      </c>
      <c r="G28" s="60"/>
      <c r="H28" s="60" t="s">
        <v>4</v>
      </c>
      <c r="I28" s="60"/>
      <c r="J28" s="60"/>
      <c r="K28" s="60"/>
      <c r="L28" s="60"/>
      <c r="M28" s="60"/>
      <c r="N28" s="60"/>
    </row>
    <row r="29" spans="2:14" ht="56.25">
      <c r="B29" s="58" t="s">
        <v>391</v>
      </c>
      <c r="C29" s="58" t="s">
        <v>123</v>
      </c>
      <c r="D29" s="58" t="s">
        <v>77</v>
      </c>
      <c r="E29" s="58" t="s">
        <v>124</v>
      </c>
      <c r="F29" s="58" t="s">
        <v>125</v>
      </c>
      <c r="G29" s="60"/>
      <c r="H29" s="60" t="s">
        <v>4</v>
      </c>
      <c r="I29" s="60"/>
      <c r="J29" s="60"/>
      <c r="K29" s="60"/>
      <c r="L29" s="60"/>
      <c r="M29" s="60"/>
      <c r="N29" s="60"/>
    </row>
    <row r="30" spans="2:14" ht="93.75">
      <c r="B30" s="58" t="s">
        <v>392</v>
      </c>
      <c r="C30" s="58" t="s">
        <v>126</v>
      </c>
      <c r="D30" s="58" t="s">
        <v>77</v>
      </c>
      <c r="E30" s="58" t="s">
        <v>127</v>
      </c>
      <c r="F30" s="58" t="s">
        <v>128</v>
      </c>
      <c r="G30" s="60"/>
      <c r="H30" s="60" t="s">
        <v>4</v>
      </c>
      <c r="I30" s="60"/>
      <c r="J30" s="60"/>
      <c r="K30" s="60"/>
      <c r="L30" s="60"/>
      <c r="M30" s="60"/>
      <c r="N30" s="60"/>
    </row>
    <row r="31" spans="2:14" ht="56.25">
      <c r="B31" s="58" t="s">
        <v>393</v>
      </c>
      <c r="C31" s="58" t="s">
        <v>129</v>
      </c>
      <c r="D31" s="58" t="s">
        <v>77</v>
      </c>
      <c r="E31" s="58" t="s">
        <v>130</v>
      </c>
      <c r="F31" s="58" t="s">
        <v>131</v>
      </c>
      <c r="G31" s="60"/>
      <c r="H31" s="60" t="s">
        <v>4</v>
      </c>
      <c r="I31" s="60"/>
      <c r="J31" s="60"/>
      <c r="K31" s="60"/>
      <c r="L31" s="60"/>
      <c r="M31" s="60"/>
      <c r="N31" s="60"/>
    </row>
    <row r="32" spans="2:14" ht="56.25">
      <c r="B32" s="58" t="s">
        <v>394</v>
      </c>
      <c r="C32" s="58" t="s">
        <v>132</v>
      </c>
      <c r="D32" s="58" t="s">
        <v>133</v>
      </c>
      <c r="E32" s="58" t="s">
        <v>134</v>
      </c>
      <c r="F32" s="58" t="s">
        <v>135</v>
      </c>
      <c r="G32" s="60"/>
      <c r="H32" s="60" t="s">
        <v>4</v>
      </c>
      <c r="I32" s="60"/>
      <c r="J32" s="60"/>
      <c r="K32" s="60"/>
      <c r="L32" s="60"/>
      <c r="M32" s="60"/>
      <c r="N32" s="60"/>
    </row>
    <row r="33" spans="2:14" ht="56.25">
      <c r="B33" s="58" t="s">
        <v>395</v>
      </c>
      <c r="C33" s="60" t="s">
        <v>136</v>
      </c>
      <c r="D33" s="58" t="s">
        <v>133</v>
      </c>
      <c r="E33" s="58" t="s">
        <v>134</v>
      </c>
      <c r="F33" s="58" t="s">
        <v>137</v>
      </c>
      <c r="G33" s="60"/>
      <c r="H33" s="60" t="s">
        <v>4</v>
      </c>
      <c r="I33" s="60"/>
      <c r="J33" s="60"/>
      <c r="K33" s="60"/>
      <c r="L33" s="60"/>
      <c r="M33" s="60"/>
      <c r="N33" s="60"/>
    </row>
    <row r="34" spans="2:14" ht="56.25">
      <c r="B34" s="58" t="s">
        <v>396</v>
      </c>
      <c r="C34" s="58" t="s">
        <v>138</v>
      </c>
      <c r="D34" s="58" t="s">
        <v>77</v>
      </c>
      <c r="E34" s="58" t="s">
        <v>139</v>
      </c>
      <c r="F34" s="58" t="s">
        <v>140</v>
      </c>
      <c r="G34" s="60"/>
      <c r="H34" s="60" t="s">
        <v>4</v>
      </c>
      <c r="I34" s="60"/>
      <c r="J34" s="60"/>
      <c r="K34" s="60"/>
      <c r="L34" s="60"/>
      <c r="M34" s="60"/>
      <c r="N34" s="60"/>
    </row>
    <row r="35" spans="2:14" ht="75">
      <c r="B35" s="58" t="s">
        <v>397</v>
      </c>
      <c r="C35" s="58" t="s">
        <v>141</v>
      </c>
      <c r="D35" s="58" t="s">
        <v>142</v>
      </c>
      <c r="E35" s="58" t="s">
        <v>143</v>
      </c>
      <c r="F35" s="58" t="s">
        <v>144</v>
      </c>
      <c r="G35" s="60"/>
      <c r="H35" s="60" t="s">
        <v>4</v>
      </c>
      <c r="I35" s="60"/>
      <c r="J35" s="60"/>
      <c r="K35" s="60"/>
      <c r="L35" s="60"/>
      <c r="M35" s="60"/>
      <c r="N35" s="60"/>
    </row>
    <row r="36" spans="2:14" ht="56.25">
      <c r="B36" s="58" t="s">
        <v>398</v>
      </c>
      <c r="C36" s="58" t="s">
        <v>145</v>
      </c>
      <c r="D36" s="58" t="s">
        <v>77</v>
      </c>
      <c r="E36" s="58" t="s">
        <v>146</v>
      </c>
      <c r="F36" s="58" t="s">
        <v>147</v>
      </c>
      <c r="G36" s="60"/>
      <c r="H36" s="60" t="s">
        <v>4</v>
      </c>
      <c r="I36" s="60"/>
      <c r="J36" s="60"/>
      <c r="K36" s="60"/>
      <c r="L36" s="60"/>
      <c r="M36" s="60"/>
      <c r="N36" s="60"/>
    </row>
    <row r="37" spans="2:14" ht="56.25">
      <c r="B37" s="58" t="s">
        <v>399</v>
      </c>
      <c r="C37" s="58" t="s">
        <v>148</v>
      </c>
      <c r="D37" s="58" t="s">
        <v>77</v>
      </c>
      <c r="E37" s="58" t="s">
        <v>149</v>
      </c>
      <c r="F37" s="58" t="s">
        <v>150</v>
      </c>
      <c r="G37" s="60"/>
      <c r="H37" s="60" t="s">
        <v>4</v>
      </c>
      <c r="I37" s="60"/>
      <c r="J37" s="60"/>
      <c r="K37" s="60"/>
      <c r="L37" s="60"/>
      <c r="M37" s="60"/>
      <c r="N37" s="60"/>
    </row>
    <row r="38" spans="2:14" ht="56.25">
      <c r="B38" s="58" t="s">
        <v>400</v>
      </c>
      <c r="C38" s="58" t="s">
        <v>151</v>
      </c>
      <c r="D38" s="58" t="s">
        <v>77</v>
      </c>
      <c r="E38" s="58" t="s">
        <v>152</v>
      </c>
      <c r="F38" s="58" t="s">
        <v>153</v>
      </c>
      <c r="G38" s="60"/>
      <c r="H38" s="60" t="s">
        <v>4</v>
      </c>
      <c r="I38" s="60"/>
      <c r="J38" s="60"/>
      <c r="K38" s="60"/>
      <c r="L38" s="60"/>
      <c r="M38" s="60"/>
      <c r="N38" s="60"/>
    </row>
    <row r="39" spans="2:14" ht="56.25">
      <c r="B39" s="58" t="s">
        <v>401</v>
      </c>
      <c r="C39" s="58" t="s">
        <v>154</v>
      </c>
      <c r="D39" s="58" t="s">
        <v>77</v>
      </c>
      <c r="E39" s="58" t="s">
        <v>155</v>
      </c>
      <c r="F39" s="58" t="s">
        <v>156</v>
      </c>
      <c r="G39" s="60"/>
      <c r="H39" s="60" t="s">
        <v>4</v>
      </c>
      <c r="I39" s="60"/>
      <c r="J39" s="60"/>
      <c r="K39" s="60"/>
      <c r="L39" s="60"/>
      <c r="M39" s="60"/>
      <c r="N39" s="60"/>
    </row>
    <row r="40" spans="2:14" ht="56.25">
      <c r="B40" s="58" t="s">
        <v>402</v>
      </c>
      <c r="C40" s="58" t="s">
        <v>157</v>
      </c>
      <c r="D40" s="58" t="s">
        <v>77</v>
      </c>
      <c r="E40" s="58" t="s">
        <v>158</v>
      </c>
      <c r="F40" s="58" t="s">
        <v>159</v>
      </c>
      <c r="G40" s="60"/>
      <c r="H40" s="60" t="s">
        <v>4</v>
      </c>
      <c r="I40" s="60"/>
      <c r="J40" s="60"/>
      <c r="K40" s="60"/>
      <c r="L40" s="60"/>
      <c r="M40" s="60"/>
      <c r="N40" s="60"/>
    </row>
    <row r="41" spans="2:14" ht="93.75">
      <c r="B41" s="58" t="s">
        <v>403</v>
      </c>
      <c r="C41" s="58" t="s">
        <v>160</v>
      </c>
      <c r="D41" s="58" t="s">
        <v>161</v>
      </c>
      <c r="E41" s="58" t="s">
        <v>162</v>
      </c>
      <c r="F41" s="58" t="s">
        <v>163</v>
      </c>
      <c r="G41" s="60"/>
      <c r="H41" s="60" t="s">
        <v>4</v>
      </c>
      <c r="I41" s="60"/>
      <c r="J41" s="60"/>
      <c r="K41" s="60"/>
      <c r="L41" s="60"/>
      <c r="M41" s="60"/>
      <c r="N41" s="60"/>
    </row>
    <row r="42" spans="2:14" ht="75">
      <c r="B42" s="58" t="s">
        <v>404</v>
      </c>
      <c r="C42" s="58" t="s">
        <v>164</v>
      </c>
      <c r="D42" s="58" t="s">
        <v>165</v>
      </c>
      <c r="E42" s="58" t="s">
        <v>166</v>
      </c>
      <c r="F42" s="58" t="s">
        <v>167</v>
      </c>
      <c r="G42" s="60"/>
      <c r="H42" s="60" t="s">
        <v>4</v>
      </c>
      <c r="I42" s="60"/>
      <c r="J42" s="60"/>
      <c r="K42" s="60"/>
      <c r="L42" s="60"/>
      <c r="M42" s="60"/>
      <c r="N42" s="60"/>
    </row>
    <row r="43" spans="2:14" ht="37.5">
      <c r="B43" s="58" t="s">
        <v>405</v>
      </c>
      <c r="C43" s="58" t="s">
        <v>168</v>
      </c>
      <c r="D43" s="58" t="s">
        <v>165</v>
      </c>
      <c r="E43" s="58" t="s">
        <v>169</v>
      </c>
      <c r="F43" s="58" t="s">
        <v>170</v>
      </c>
      <c r="G43" s="60"/>
      <c r="H43" s="60" t="s">
        <v>4</v>
      </c>
      <c r="I43" s="60"/>
      <c r="J43" s="60"/>
      <c r="K43" s="60"/>
      <c r="L43" s="60"/>
      <c r="M43" s="60"/>
      <c r="N43" s="60"/>
    </row>
    <row r="44" spans="2:14" ht="56.25">
      <c r="B44" s="58" t="s">
        <v>406</v>
      </c>
      <c r="C44" s="58" t="s">
        <v>171</v>
      </c>
      <c r="D44" s="58" t="s">
        <v>172</v>
      </c>
      <c r="E44" s="58" t="s">
        <v>173</v>
      </c>
      <c r="F44" s="58" t="s">
        <v>174</v>
      </c>
      <c r="G44" s="60"/>
      <c r="H44" s="60" t="s">
        <v>4</v>
      </c>
      <c r="I44" s="60"/>
      <c r="J44" s="60"/>
      <c r="K44" s="60"/>
      <c r="L44" s="60"/>
      <c r="M44" s="60"/>
      <c r="N44" s="60"/>
    </row>
    <row r="45" spans="2:14" ht="56.25">
      <c r="B45" s="58" t="s">
        <v>407</v>
      </c>
      <c r="C45" s="58" t="s">
        <v>175</v>
      </c>
      <c r="D45" s="58" t="s">
        <v>176</v>
      </c>
      <c r="E45" s="58" t="s">
        <v>173</v>
      </c>
      <c r="F45" s="58" t="s">
        <v>177</v>
      </c>
      <c r="G45" s="60"/>
      <c r="H45" s="60" t="s">
        <v>4</v>
      </c>
      <c r="I45" s="60"/>
      <c r="J45" s="60"/>
      <c r="K45" s="60"/>
      <c r="L45" s="60"/>
      <c r="M45" s="60"/>
      <c r="N45" s="60"/>
    </row>
    <row r="46" spans="2:14">
      <c r="B46" s="48"/>
    </row>
    <row r="47" spans="2:14">
      <c r="B47" s="48"/>
      <c r="C47" s="48"/>
    </row>
  </sheetData>
  <mergeCells count="3">
    <mergeCell ref="E4:H4"/>
    <mergeCell ref="E6:H6"/>
    <mergeCell ref="E7:H7"/>
  </mergeCells>
  <phoneticPr fontId="13" type="noConversion"/>
  <dataValidations count="3">
    <dataValidation type="list" allowBlank="1" showErrorMessage="1" sqref="H2" xr:uid="{F16969BD-2534-423A-B137-76634C13ABA2}">
      <formula1>$O$2:$O$7</formula1>
    </dataValidation>
    <dataValidation type="list" allowBlank="1" showErrorMessage="1" sqref="H3" xr:uid="{BD51808E-3CF7-4D50-BBA4-7CCD78A57AD2}">
      <formula1>$O$2:$O$6</formula1>
    </dataValidation>
    <dataValidation type="list" allowBlank="1" showInputMessage="1" showErrorMessage="1" sqref="H10:H45" xr:uid="{C0BFBD1F-942F-40D9-8BD8-770148858FE2}">
      <formula1>$M$2:$M$5</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0B89-BA4B-4809-B92D-2883F4FCDC51}">
  <dimension ref="A1:M59"/>
  <sheetViews>
    <sheetView zoomScale="58" zoomScaleNormal="98" workbookViewId="0">
      <selection activeCell="D12" sqref="D12"/>
    </sheetView>
  </sheetViews>
  <sheetFormatPr defaultRowHeight="15"/>
  <cols>
    <col min="1" max="1" width="16.42578125" style="49" customWidth="1"/>
    <col min="2" max="2" width="42.85546875" style="49" customWidth="1"/>
    <col min="3" max="3" width="29" style="49" customWidth="1"/>
    <col min="4" max="4" width="39.7109375" style="49" bestFit="1" customWidth="1"/>
    <col min="5" max="5" width="53.5703125" style="49" customWidth="1"/>
    <col min="6" max="6" width="28.140625" style="49" customWidth="1"/>
    <col min="7" max="7" width="14.5703125" style="49" customWidth="1"/>
    <col min="8" max="16384" width="9.140625" style="49"/>
  </cols>
  <sheetData>
    <row r="1" spans="1:13" ht="15.75" thickBot="1"/>
    <row r="2" spans="1:13" ht="15.75" thickBot="1">
      <c r="A2" s="62" t="s">
        <v>0</v>
      </c>
      <c r="B2" s="63" t="s">
        <v>415</v>
      </c>
      <c r="C2" s="63"/>
      <c r="D2" s="63"/>
      <c r="E2" s="62" t="s">
        <v>410</v>
      </c>
      <c r="F2" s="64"/>
      <c r="G2" s="65"/>
    </row>
    <row r="3" spans="1:13" ht="15.75" thickBot="1">
      <c r="A3" s="62" t="s">
        <v>1</v>
      </c>
      <c r="B3" s="66" t="s">
        <v>411</v>
      </c>
      <c r="C3" s="67"/>
      <c r="D3" s="68"/>
      <c r="E3" s="62" t="s">
        <v>412</v>
      </c>
      <c r="F3" s="69"/>
      <c r="G3" s="65"/>
    </row>
    <row r="4" spans="1:13" ht="15.75" thickBot="1">
      <c r="A4" s="62" t="s">
        <v>2</v>
      </c>
      <c r="B4" s="70"/>
      <c r="C4" s="70"/>
      <c r="D4" s="70"/>
      <c r="E4" s="71" t="s">
        <v>413</v>
      </c>
      <c r="F4" s="72"/>
      <c r="G4" s="73"/>
      <c r="M4" s="49" t="s">
        <v>4</v>
      </c>
    </row>
    <row r="5" spans="1:13" ht="26.25" thickBot="1">
      <c r="A5" s="71" t="s">
        <v>3</v>
      </c>
      <c r="B5" s="63"/>
      <c r="C5" s="70"/>
      <c r="D5" s="70"/>
      <c r="E5" s="71"/>
      <c r="F5" s="74"/>
      <c r="G5" s="75"/>
      <c r="M5" s="49" t="s">
        <v>5</v>
      </c>
    </row>
    <row r="6" spans="1:13" ht="15.75" thickBot="1">
      <c r="A6" s="76" t="s">
        <v>4</v>
      </c>
      <c r="B6" s="77" t="s">
        <v>5</v>
      </c>
      <c r="C6" s="77" t="s">
        <v>414</v>
      </c>
      <c r="D6" s="78"/>
      <c r="E6" s="77"/>
      <c r="F6" s="79" t="s">
        <v>6</v>
      </c>
      <c r="G6" s="80"/>
      <c r="M6" s="49" t="s">
        <v>408</v>
      </c>
    </row>
    <row r="7" spans="1:13" ht="15.75" thickBot="1">
      <c r="A7" s="81">
        <f>COUNTIF(G10:G956,"Passed")</f>
        <v>42</v>
      </c>
      <c r="B7" s="81">
        <f>COUNTIF(G10:G966,"Failed")</f>
        <v>0</v>
      </c>
      <c r="C7" s="81">
        <f>COUNTIF(G10:G966,C6)</f>
        <v>0</v>
      </c>
      <c r="D7" s="82"/>
      <c r="E7" s="81">
        <f>MAX(A:A)</f>
        <v>42</v>
      </c>
      <c r="F7" s="83">
        <f>MAX(A:A)</f>
        <v>42</v>
      </c>
      <c r="G7" s="84"/>
      <c r="M7" s="49" t="s">
        <v>409</v>
      </c>
    </row>
    <row r="11" spans="1:13" ht="37.5">
      <c r="A11" s="28" t="s">
        <v>7</v>
      </c>
      <c r="B11" s="28" t="s">
        <v>8</v>
      </c>
      <c r="C11" s="28" t="s">
        <v>9</v>
      </c>
      <c r="D11" s="28" t="s">
        <v>10</v>
      </c>
      <c r="E11" s="28" t="s">
        <v>11</v>
      </c>
      <c r="F11" s="28" t="s">
        <v>12</v>
      </c>
      <c r="G11" s="28" t="s">
        <v>13</v>
      </c>
      <c r="H11" s="28" t="s">
        <v>14</v>
      </c>
      <c r="I11" s="28" t="s">
        <v>15</v>
      </c>
      <c r="J11" s="28" t="s">
        <v>16</v>
      </c>
      <c r="K11" s="28" t="s">
        <v>13</v>
      </c>
      <c r="L11" s="28" t="s">
        <v>15</v>
      </c>
      <c r="M11" s="28" t="s">
        <v>16</v>
      </c>
    </row>
    <row r="12" spans="1:13">
      <c r="A12" s="50"/>
      <c r="B12" s="50"/>
      <c r="C12" s="50"/>
      <c r="D12" s="50"/>
      <c r="E12" s="50"/>
      <c r="F12" s="53"/>
      <c r="G12" s="53"/>
      <c r="H12" s="53"/>
      <c r="I12" s="53"/>
      <c r="J12" s="53"/>
      <c r="K12" s="53"/>
      <c r="L12" s="53"/>
      <c r="M12" s="53"/>
    </row>
    <row r="13" spans="1:13" ht="120">
      <c r="A13" s="51" t="s">
        <v>178</v>
      </c>
      <c r="B13" s="51" t="s">
        <v>179</v>
      </c>
      <c r="C13" s="51" t="s">
        <v>180</v>
      </c>
      <c r="D13" s="51" t="s">
        <v>181</v>
      </c>
      <c r="E13" s="52" t="s">
        <v>182</v>
      </c>
      <c r="F13" s="51"/>
      <c r="G13" s="51" t="s">
        <v>4</v>
      </c>
      <c r="H13" s="51"/>
      <c r="I13" s="51"/>
      <c r="J13" s="51"/>
      <c r="K13" s="51"/>
      <c r="L13" s="51"/>
      <c r="M13" s="51"/>
    </row>
    <row r="14" spans="1:13" ht="45">
      <c r="A14" s="51" t="s">
        <v>183</v>
      </c>
      <c r="B14" s="51" t="s">
        <v>184</v>
      </c>
      <c r="C14" s="51" t="s">
        <v>185</v>
      </c>
      <c r="D14" s="52" t="s">
        <v>186</v>
      </c>
      <c r="E14" s="52" t="s">
        <v>187</v>
      </c>
      <c r="F14" s="51"/>
      <c r="G14" s="51" t="s">
        <v>4</v>
      </c>
      <c r="H14" s="51"/>
      <c r="I14" s="51"/>
      <c r="J14" s="51"/>
      <c r="K14" s="51"/>
      <c r="L14" s="51"/>
      <c r="M14" s="51"/>
    </row>
    <row r="15" spans="1:13" ht="45">
      <c r="A15" s="51" t="s">
        <v>188</v>
      </c>
      <c r="B15" s="51" t="s">
        <v>189</v>
      </c>
      <c r="C15" s="51" t="s">
        <v>190</v>
      </c>
      <c r="D15" s="52" t="s">
        <v>191</v>
      </c>
      <c r="E15" s="51" t="s">
        <v>192</v>
      </c>
      <c r="F15" s="51"/>
      <c r="G15" s="51" t="s">
        <v>4</v>
      </c>
      <c r="H15" s="51"/>
      <c r="I15" s="51"/>
      <c r="J15" s="51"/>
      <c r="K15" s="51"/>
      <c r="L15" s="51"/>
      <c r="M15" s="51"/>
    </row>
    <row r="16" spans="1:13">
      <c r="A16" s="53"/>
      <c r="B16" s="53"/>
      <c r="C16" s="53"/>
      <c r="D16" s="54"/>
      <c r="E16" s="53"/>
      <c r="F16" s="53"/>
      <c r="G16" s="53"/>
      <c r="H16" s="53"/>
      <c r="I16" s="53"/>
      <c r="J16" s="53"/>
      <c r="K16" s="53"/>
      <c r="L16" s="53"/>
      <c r="M16" s="53"/>
    </row>
    <row r="17" spans="1:13" ht="45">
      <c r="A17" s="51" t="s">
        <v>193</v>
      </c>
      <c r="B17" s="51" t="s">
        <v>194</v>
      </c>
      <c r="C17" s="51" t="s">
        <v>195</v>
      </c>
      <c r="D17" s="52" t="s">
        <v>196</v>
      </c>
      <c r="E17" s="51" t="s">
        <v>197</v>
      </c>
      <c r="F17" s="51"/>
      <c r="G17" s="51" t="s">
        <v>4</v>
      </c>
      <c r="H17" s="51"/>
      <c r="I17" s="51"/>
      <c r="J17" s="51"/>
      <c r="K17" s="51"/>
      <c r="L17" s="51"/>
      <c r="M17" s="51"/>
    </row>
    <row r="18" spans="1:13" ht="51" customHeight="1">
      <c r="A18" s="51" t="s">
        <v>198</v>
      </c>
      <c r="B18" s="51" t="s">
        <v>199</v>
      </c>
      <c r="C18" s="51" t="s">
        <v>200</v>
      </c>
      <c r="D18" s="52" t="s">
        <v>201</v>
      </c>
      <c r="E18" s="52" t="s">
        <v>202</v>
      </c>
      <c r="F18" s="51"/>
      <c r="G18" s="51" t="s">
        <v>4</v>
      </c>
      <c r="H18" s="51"/>
      <c r="I18" s="51"/>
      <c r="J18" s="51"/>
      <c r="K18" s="51"/>
      <c r="L18" s="51"/>
      <c r="M18" s="51"/>
    </row>
    <row r="19" spans="1:13" ht="54.75" customHeight="1">
      <c r="A19" s="51" t="s">
        <v>203</v>
      </c>
      <c r="B19" s="52" t="s">
        <v>204</v>
      </c>
      <c r="C19" s="51"/>
      <c r="D19" s="52" t="s">
        <v>205</v>
      </c>
      <c r="E19" s="51" t="s">
        <v>206</v>
      </c>
      <c r="F19" s="51"/>
      <c r="G19" s="51" t="s">
        <v>4</v>
      </c>
      <c r="H19" s="51"/>
      <c r="I19" s="51"/>
      <c r="J19" s="51"/>
      <c r="K19" s="51"/>
      <c r="L19" s="51"/>
      <c r="M19" s="51"/>
    </row>
    <row r="20" spans="1:13" ht="38.25" customHeight="1">
      <c r="A20" s="51" t="s">
        <v>207</v>
      </c>
      <c r="B20" s="51" t="s">
        <v>208</v>
      </c>
      <c r="C20" s="51" t="s">
        <v>209</v>
      </c>
      <c r="D20" s="52" t="s">
        <v>210</v>
      </c>
      <c r="E20" s="51" t="s">
        <v>211</v>
      </c>
      <c r="F20" s="51"/>
      <c r="G20" s="51" t="s">
        <v>4</v>
      </c>
      <c r="H20" s="51"/>
      <c r="I20" s="51"/>
      <c r="J20" s="51"/>
      <c r="K20" s="51"/>
      <c r="L20" s="51"/>
      <c r="M20" s="51"/>
    </row>
    <row r="21" spans="1:13" ht="38.25" customHeight="1">
      <c r="A21" s="51" t="s">
        <v>419</v>
      </c>
      <c r="B21" s="52" t="s">
        <v>213</v>
      </c>
      <c r="C21" s="51" t="s">
        <v>214</v>
      </c>
      <c r="D21" s="51" t="s">
        <v>215</v>
      </c>
      <c r="E21" s="52" t="s">
        <v>216</v>
      </c>
      <c r="F21" s="51"/>
      <c r="G21" s="51" t="s">
        <v>4</v>
      </c>
      <c r="H21" s="51"/>
      <c r="I21" s="51"/>
      <c r="J21" s="51"/>
      <c r="K21" s="51"/>
      <c r="L21" s="51"/>
      <c r="M21" s="51"/>
    </row>
    <row r="22" spans="1:13" ht="38.25" customHeight="1">
      <c r="A22" s="51" t="s">
        <v>212</v>
      </c>
      <c r="B22" s="51" t="s">
        <v>218</v>
      </c>
      <c r="C22" s="51" t="s">
        <v>219</v>
      </c>
      <c r="D22" s="51" t="s">
        <v>220</v>
      </c>
      <c r="E22" s="51" t="s">
        <v>221</v>
      </c>
      <c r="F22" s="51"/>
      <c r="G22" s="51" t="s">
        <v>4</v>
      </c>
      <c r="H22" s="51"/>
      <c r="I22" s="51"/>
      <c r="J22" s="51"/>
      <c r="K22" s="51"/>
      <c r="L22" s="51"/>
      <c r="M22" s="51"/>
    </row>
    <row r="23" spans="1:13" ht="38.25" customHeight="1">
      <c r="A23" s="51" t="s">
        <v>217</v>
      </c>
      <c r="B23" s="52" t="s">
        <v>223</v>
      </c>
      <c r="C23" s="51" t="s">
        <v>224</v>
      </c>
      <c r="D23" s="51" t="s">
        <v>225</v>
      </c>
      <c r="E23" s="51" t="s">
        <v>226</v>
      </c>
      <c r="F23" s="51"/>
      <c r="G23" s="51" t="s">
        <v>4</v>
      </c>
      <c r="H23" s="51"/>
      <c r="I23" s="51"/>
      <c r="J23" s="51"/>
      <c r="K23" s="51"/>
      <c r="L23" s="51"/>
      <c r="M23" s="51"/>
    </row>
    <row r="24" spans="1:13" ht="38.25" customHeight="1">
      <c r="A24" s="51" t="s">
        <v>222</v>
      </c>
      <c r="B24" s="51" t="s">
        <v>228</v>
      </c>
      <c r="C24" s="51" t="s">
        <v>229</v>
      </c>
      <c r="D24" s="51" t="s">
        <v>230</v>
      </c>
      <c r="E24" s="51" t="s">
        <v>231</v>
      </c>
      <c r="F24" s="51"/>
      <c r="G24" s="51" t="s">
        <v>4</v>
      </c>
      <c r="H24" s="51"/>
      <c r="I24" s="51"/>
      <c r="J24" s="51"/>
      <c r="K24" s="51"/>
      <c r="L24" s="51"/>
      <c r="M24" s="51"/>
    </row>
    <row r="25" spans="1:13" ht="38.25" customHeight="1">
      <c r="A25" s="51" t="s">
        <v>227</v>
      </c>
      <c r="B25" s="51" t="s">
        <v>233</v>
      </c>
      <c r="C25" s="51" t="s">
        <v>234</v>
      </c>
      <c r="D25" s="51" t="s">
        <v>235</v>
      </c>
      <c r="E25" s="51" t="s">
        <v>236</v>
      </c>
      <c r="F25" s="51"/>
      <c r="G25" s="51" t="s">
        <v>4</v>
      </c>
      <c r="H25" s="51"/>
      <c r="I25" s="51"/>
      <c r="J25" s="51"/>
      <c r="K25" s="51"/>
      <c r="L25" s="51"/>
      <c r="M25" s="51"/>
    </row>
    <row r="26" spans="1:13" ht="30">
      <c r="A26" s="51" t="s">
        <v>241</v>
      </c>
      <c r="B26" s="51" t="s">
        <v>238</v>
      </c>
      <c r="C26" s="51" t="s">
        <v>234</v>
      </c>
      <c r="D26" s="52" t="s">
        <v>239</v>
      </c>
      <c r="E26" s="51" t="s">
        <v>240</v>
      </c>
      <c r="F26" s="51"/>
      <c r="G26" s="51" t="s">
        <v>4</v>
      </c>
      <c r="H26" s="51"/>
      <c r="I26" s="51"/>
      <c r="J26" s="51"/>
      <c r="K26" s="51"/>
      <c r="L26" s="51"/>
      <c r="M26" s="51"/>
    </row>
    <row r="27" spans="1:13" ht="38.25" customHeight="1">
      <c r="A27" s="51" t="s">
        <v>246</v>
      </c>
      <c r="B27" s="51" t="s">
        <v>242</v>
      </c>
      <c r="C27" s="51" t="s">
        <v>243</v>
      </c>
      <c r="D27" s="51" t="s">
        <v>244</v>
      </c>
      <c r="E27" s="51" t="s">
        <v>245</v>
      </c>
      <c r="F27" s="51"/>
      <c r="G27" s="51" t="s">
        <v>4</v>
      </c>
      <c r="H27" s="51"/>
      <c r="I27" s="51"/>
      <c r="J27" s="51"/>
      <c r="K27" s="51"/>
      <c r="L27" s="51"/>
      <c r="M27" s="51"/>
    </row>
    <row r="28" spans="1:13">
      <c r="A28" s="53"/>
      <c r="B28" s="53"/>
      <c r="C28" s="53"/>
      <c r="D28" s="54"/>
      <c r="E28" s="53"/>
      <c r="F28" s="53"/>
      <c r="G28" s="53"/>
      <c r="H28" s="53"/>
      <c r="I28" s="53"/>
      <c r="J28" s="53"/>
      <c r="K28" s="53"/>
      <c r="L28" s="53"/>
      <c r="M28" s="53"/>
    </row>
    <row r="29" spans="1:13" ht="38.25" customHeight="1">
      <c r="A29" s="51" t="s">
        <v>251</v>
      </c>
      <c r="B29" s="51" t="s">
        <v>247</v>
      </c>
      <c r="C29" s="51" t="s">
        <v>248</v>
      </c>
      <c r="D29" s="52" t="s">
        <v>249</v>
      </c>
      <c r="E29" s="51" t="s">
        <v>250</v>
      </c>
      <c r="F29" s="51"/>
      <c r="G29" s="51" t="s">
        <v>4</v>
      </c>
      <c r="H29" s="51"/>
      <c r="I29" s="51"/>
      <c r="J29" s="51"/>
      <c r="K29" s="51"/>
      <c r="L29" s="51"/>
      <c r="M29" s="51"/>
    </row>
    <row r="30" spans="1:13" ht="30">
      <c r="A30" s="51" t="s">
        <v>256</v>
      </c>
      <c r="B30" s="51" t="s">
        <v>252</v>
      </c>
      <c r="C30" s="51" t="s">
        <v>253</v>
      </c>
      <c r="D30" s="52" t="s">
        <v>254</v>
      </c>
      <c r="E30" s="51" t="s">
        <v>255</v>
      </c>
      <c r="F30" s="51"/>
      <c r="G30" s="51" t="s">
        <v>4</v>
      </c>
      <c r="H30" s="51"/>
      <c r="I30" s="51"/>
      <c r="J30" s="51"/>
      <c r="K30" s="51"/>
      <c r="L30" s="51"/>
      <c r="M30" s="51"/>
    </row>
    <row r="31" spans="1:13" ht="30">
      <c r="A31" s="51" t="s">
        <v>261</v>
      </c>
      <c r="B31" s="51" t="s">
        <v>257</v>
      </c>
      <c r="C31" s="51" t="s">
        <v>258</v>
      </c>
      <c r="D31" s="52" t="s">
        <v>259</v>
      </c>
      <c r="E31" s="51" t="s">
        <v>260</v>
      </c>
      <c r="F31" s="51"/>
      <c r="G31" s="51" t="s">
        <v>4</v>
      </c>
      <c r="H31" s="51"/>
      <c r="I31" s="51"/>
      <c r="J31" s="51"/>
      <c r="K31" s="51"/>
      <c r="L31" s="51"/>
      <c r="M31" s="51"/>
    </row>
    <row r="32" spans="1:13">
      <c r="A32" s="55"/>
      <c r="B32" s="55"/>
      <c r="C32" s="55"/>
      <c r="D32" s="55"/>
      <c r="E32" s="55"/>
      <c r="F32" s="53"/>
      <c r="G32" s="53"/>
      <c r="H32" s="53"/>
      <c r="I32" s="53"/>
      <c r="J32" s="53"/>
      <c r="K32" s="53"/>
      <c r="L32" s="53"/>
      <c r="M32" s="53"/>
    </row>
    <row r="33" spans="1:13" ht="45">
      <c r="A33" s="51" t="s">
        <v>266</v>
      </c>
      <c r="B33" s="51" t="s">
        <v>262</v>
      </c>
      <c r="C33" s="51" t="s">
        <v>263</v>
      </c>
      <c r="D33" s="52" t="s">
        <v>264</v>
      </c>
      <c r="E33" s="51" t="s">
        <v>265</v>
      </c>
      <c r="F33" s="51"/>
      <c r="G33" s="51" t="s">
        <v>4</v>
      </c>
      <c r="H33" s="51"/>
      <c r="I33" s="51"/>
      <c r="J33" s="51"/>
      <c r="K33" s="51"/>
      <c r="L33" s="51"/>
      <c r="M33" s="51"/>
    </row>
    <row r="34" spans="1:13" ht="30">
      <c r="A34" s="51" t="s">
        <v>271</v>
      </c>
      <c r="B34" s="51" t="s">
        <v>267</v>
      </c>
      <c r="C34" s="51" t="s">
        <v>268</v>
      </c>
      <c r="D34" s="52" t="s">
        <v>269</v>
      </c>
      <c r="E34" s="52" t="s">
        <v>270</v>
      </c>
      <c r="F34" s="51"/>
      <c r="G34" s="51" t="s">
        <v>4</v>
      </c>
      <c r="H34" s="51"/>
      <c r="I34" s="51"/>
      <c r="J34" s="51"/>
      <c r="K34" s="51"/>
      <c r="L34" s="51"/>
      <c r="M34" s="51"/>
    </row>
    <row r="35" spans="1:13" ht="38.25" customHeight="1">
      <c r="A35" s="51" t="s">
        <v>275</v>
      </c>
      <c r="B35" s="51" t="s">
        <v>272</v>
      </c>
      <c r="C35" s="51" t="s">
        <v>263</v>
      </c>
      <c r="D35" s="52" t="s">
        <v>273</v>
      </c>
      <c r="E35" s="52" t="s">
        <v>274</v>
      </c>
      <c r="F35" s="51"/>
      <c r="G35" s="51" t="s">
        <v>4</v>
      </c>
      <c r="H35" s="51"/>
      <c r="I35" s="51"/>
      <c r="J35" s="51"/>
      <c r="K35" s="51"/>
      <c r="L35" s="51"/>
      <c r="M35" s="51"/>
    </row>
    <row r="36" spans="1:13" ht="38.25" customHeight="1">
      <c r="A36" s="51" t="s">
        <v>280</v>
      </c>
      <c r="B36" s="51" t="s">
        <v>276</v>
      </c>
      <c r="C36" s="51" t="s">
        <v>277</v>
      </c>
      <c r="D36" s="51" t="s">
        <v>278</v>
      </c>
      <c r="E36" s="52" t="s">
        <v>279</v>
      </c>
      <c r="F36" s="51"/>
      <c r="G36" s="51" t="s">
        <v>4</v>
      </c>
      <c r="H36" s="51"/>
      <c r="I36" s="51"/>
      <c r="J36" s="51"/>
      <c r="K36" s="51"/>
      <c r="L36" s="51"/>
      <c r="M36" s="51"/>
    </row>
    <row r="37" spans="1:13" ht="38.25" customHeight="1">
      <c r="A37" s="51" t="s">
        <v>285</v>
      </c>
      <c r="B37" s="51" t="s">
        <v>281</v>
      </c>
      <c r="C37" s="51" t="s">
        <v>282</v>
      </c>
      <c r="D37" s="51" t="s">
        <v>283</v>
      </c>
      <c r="E37" s="52" t="s">
        <v>284</v>
      </c>
      <c r="F37" s="51"/>
      <c r="G37" s="51" t="s">
        <v>4</v>
      </c>
      <c r="H37" s="51"/>
      <c r="I37" s="51"/>
      <c r="J37" s="51"/>
      <c r="K37" s="51"/>
      <c r="L37" s="51"/>
      <c r="M37" s="51"/>
    </row>
    <row r="38" spans="1:13" customFormat="1" ht="38.25" customHeight="1">
      <c r="A38" s="51" t="s">
        <v>289</v>
      </c>
      <c r="B38" s="52" t="s">
        <v>286</v>
      </c>
      <c r="C38" s="51" t="s">
        <v>287</v>
      </c>
      <c r="D38" s="51" t="s">
        <v>278</v>
      </c>
      <c r="E38" s="51" t="s">
        <v>288</v>
      </c>
      <c r="F38" s="51"/>
      <c r="G38" s="51" t="s">
        <v>4</v>
      </c>
      <c r="H38" s="56"/>
      <c r="I38" s="56"/>
      <c r="J38" s="56"/>
      <c r="K38" s="56"/>
      <c r="L38" s="56"/>
      <c r="M38" s="56"/>
    </row>
    <row r="39" spans="1:13" ht="38.25" customHeight="1">
      <c r="A39" s="51" t="s">
        <v>294</v>
      </c>
      <c r="B39" s="51" t="s">
        <v>290</v>
      </c>
      <c r="C39" s="52" t="s">
        <v>291</v>
      </c>
      <c r="D39" s="52" t="s">
        <v>292</v>
      </c>
      <c r="E39" s="52" t="s">
        <v>293</v>
      </c>
      <c r="F39" s="51"/>
      <c r="G39" s="51" t="s">
        <v>4</v>
      </c>
      <c r="H39" s="51"/>
      <c r="I39" s="51"/>
      <c r="J39" s="51"/>
      <c r="K39" s="51"/>
      <c r="L39" s="51"/>
      <c r="M39" s="51"/>
    </row>
    <row r="40" spans="1:13" ht="38.25" customHeight="1">
      <c r="A40" s="51" t="s">
        <v>232</v>
      </c>
      <c r="B40" s="51" t="s">
        <v>295</v>
      </c>
      <c r="C40" s="51" t="s">
        <v>296</v>
      </c>
      <c r="D40" s="52" t="s">
        <v>259</v>
      </c>
      <c r="E40" s="51" t="s">
        <v>297</v>
      </c>
      <c r="F40" s="51"/>
      <c r="G40" s="51" t="s">
        <v>4</v>
      </c>
      <c r="H40" s="51"/>
      <c r="I40" s="51"/>
      <c r="J40" s="51"/>
      <c r="K40" s="51"/>
      <c r="L40" s="51"/>
      <c r="M40" s="51"/>
    </row>
    <row r="41" spans="1:13" ht="38.25" customHeight="1">
      <c r="A41" s="51" t="s">
        <v>237</v>
      </c>
      <c r="B41" s="51" t="s">
        <v>299</v>
      </c>
      <c r="C41" s="51"/>
      <c r="D41" s="51" t="s">
        <v>300</v>
      </c>
      <c r="E41" s="51" t="s">
        <v>301</v>
      </c>
      <c r="F41" s="51"/>
      <c r="G41" s="51" t="s">
        <v>4</v>
      </c>
      <c r="H41" s="51"/>
      <c r="I41" s="51"/>
      <c r="J41" s="51"/>
      <c r="K41" s="51"/>
      <c r="L41" s="51"/>
      <c r="M41" s="51"/>
    </row>
    <row r="42" spans="1:13" s="57" customFormat="1">
      <c r="A42" s="53"/>
      <c r="B42" s="53"/>
      <c r="C42" s="53"/>
      <c r="D42" s="53"/>
      <c r="E42" s="53"/>
      <c r="F42" s="53"/>
      <c r="G42" s="53"/>
      <c r="H42" s="53"/>
      <c r="I42" s="53"/>
      <c r="J42" s="53"/>
      <c r="K42" s="53"/>
      <c r="L42" s="53"/>
      <c r="M42" s="53"/>
    </row>
    <row r="43" spans="1:13" ht="60">
      <c r="A43" s="51" t="s">
        <v>298</v>
      </c>
      <c r="B43" s="51" t="s">
        <v>303</v>
      </c>
      <c r="C43" s="51" t="s">
        <v>304</v>
      </c>
      <c r="D43" s="52" t="s">
        <v>305</v>
      </c>
      <c r="E43" s="52" t="s">
        <v>306</v>
      </c>
      <c r="F43" s="51"/>
      <c r="G43" s="51" t="s">
        <v>4</v>
      </c>
      <c r="H43" s="51"/>
      <c r="I43" s="51"/>
      <c r="J43" s="51"/>
      <c r="K43" s="51"/>
      <c r="L43" s="51"/>
      <c r="M43" s="51"/>
    </row>
    <row r="44" spans="1:13" ht="45">
      <c r="A44" s="51" t="s">
        <v>302</v>
      </c>
      <c r="B44" s="51" t="s">
        <v>308</v>
      </c>
      <c r="C44" s="51" t="s">
        <v>309</v>
      </c>
      <c r="D44" s="52" t="s">
        <v>310</v>
      </c>
      <c r="E44" s="51" t="s">
        <v>311</v>
      </c>
      <c r="F44" s="51"/>
      <c r="G44" s="51" t="s">
        <v>4</v>
      </c>
      <c r="H44" s="51"/>
      <c r="I44" s="51"/>
      <c r="J44" s="51"/>
      <c r="K44" s="51"/>
      <c r="L44" s="51"/>
      <c r="M44" s="51"/>
    </row>
    <row r="45" spans="1:13" ht="60">
      <c r="A45" s="51" t="s">
        <v>307</v>
      </c>
      <c r="B45" s="51" t="s">
        <v>313</v>
      </c>
      <c r="C45" s="51" t="s">
        <v>314</v>
      </c>
      <c r="D45" s="52" t="s">
        <v>315</v>
      </c>
      <c r="E45" s="52" t="s">
        <v>316</v>
      </c>
      <c r="F45" s="51"/>
      <c r="G45" s="51" t="s">
        <v>4</v>
      </c>
      <c r="H45" s="51"/>
      <c r="I45" s="51"/>
      <c r="J45" s="51"/>
      <c r="K45" s="51"/>
      <c r="L45" s="51"/>
      <c r="M45" s="51"/>
    </row>
    <row r="46" spans="1:13" ht="38.25" customHeight="1">
      <c r="A46" s="51" t="s">
        <v>312</v>
      </c>
      <c r="B46" s="51" t="s">
        <v>318</v>
      </c>
      <c r="C46" s="51"/>
      <c r="D46" s="52" t="s">
        <v>319</v>
      </c>
      <c r="E46" s="52" t="s">
        <v>320</v>
      </c>
      <c r="F46" s="51"/>
      <c r="G46" s="51" t="s">
        <v>4</v>
      </c>
      <c r="H46" s="51"/>
      <c r="I46" s="51"/>
      <c r="J46" s="51"/>
      <c r="K46" s="51"/>
      <c r="L46" s="51"/>
      <c r="M46" s="51"/>
    </row>
    <row r="47" spans="1:13" ht="75">
      <c r="A47" s="51" t="s">
        <v>317</v>
      </c>
      <c r="B47" s="51" t="s">
        <v>322</v>
      </c>
      <c r="C47" s="51" t="s">
        <v>323</v>
      </c>
      <c r="D47" s="52" t="s">
        <v>324</v>
      </c>
      <c r="E47" s="51" t="s">
        <v>325</v>
      </c>
      <c r="F47" s="51"/>
      <c r="G47" s="51" t="s">
        <v>4</v>
      </c>
      <c r="H47" s="51"/>
      <c r="I47" s="51"/>
      <c r="J47" s="51"/>
      <c r="K47" s="51"/>
      <c r="L47" s="51"/>
      <c r="M47" s="51"/>
    </row>
    <row r="48" spans="1:13">
      <c r="A48" s="53"/>
      <c r="B48" s="53"/>
      <c r="C48" s="53"/>
      <c r="D48" s="53"/>
      <c r="E48" s="53"/>
      <c r="F48" s="53"/>
      <c r="G48" s="53"/>
      <c r="H48" s="53"/>
      <c r="I48" s="53"/>
      <c r="J48" s="53"/>
      <c r="K48" s="53"/>
      <c r="L48" s="53"/>
      <c r="M48" s="53"/>
    </row>
    <row r="49" spans="1:13" ht="38.25" customHeight="1">
      <c r="A49" s="51" t="s">
        <v>321</v>
      </c>
      <c r="B49" s="51" t="s">
        <v>327</v>
      </c>
      <c r="C49" s="51" t="s">
        <v>328</v>
      </c>
      <c r="D49" s="52" t="s">
        <v>329</v>
      </c>
      <c r="E49" s="52" t="s">
        <v>330</v>
      </c>
      <c r="F49" s="51"/>
      <c r="G49" s="51" t="s">
        <v>4</v>
      </c>
      <c r="H49" s="51"/>
      <c r="I49" s="51"/>
      <c r="J49" s="51"/>
      <c r="K49" s="51"/>
      <c r="L49" s="51"/>
      <c r="M49" s="51"/>
    </row>
    <row r="50" spans="1:13" ht="45">
      <c r="A50" s="51" t="s">
        <v>326</v>
      </c>
      <c r="B50" s="52" t="s">
        <v>332</v>
      </c>
      <c r="C50" s="52" t="s">
        <v>333</v>
      </c>
      <c r="D50" s="51" t="s">
        <v>334</v>
      </c>
      <c r="E50" s="51" t="s">
        <v>335</v>
      </c>
      <c r="F50" s="51"/>
      <c r="G50" s="51" t="s">
        <v>4</v>
      </c>
      <c r="H50" s="51"/>
      <c r="I50" s="51"/>
      <c r="J50" s="51"/>
      <c r="K50" s="51"/>
      <c r="L50" s="51"/>
      <c r="M50" s="51"/>
    </row>
    <row r="51" spans="1:13" ht="30">
      <c r="A51" s="51" t="s">
        <v>331</v>
      </c>
      <c r="B51" s="51" t="s">
        <v>337</v>
      </c>
      <c r="C51" s="51" t="s">
        <v>338</v>
      </c>
      <c r="D51" s="51" t="s">
        <v>339</v>
      </c>
      <c r="E51" s="52" t="s">
        <v>340</v>
      </c>
      <c r="F51" s="51"/>
      <c r="G51" s="51" t="s">
        <v>4</v>
      </c>
      <c r="H51" s="51"/>
      <c r="I51" s="51"/>
      <c r="J51" s="51"/>
      <c r="K51" s="51"/>
      <c r="L51" s="51"/>
      <c r="M51" s="51"/>
    </row>
    <row r="52" spans="1:13" ht="33" customHeight="1">
      <c r="A52" s="51" t="s">
        <v>336</v>
      </c>
      <c r="B52" s="51" t="s">
        <v>342</v>
      </c>
      <c r="C52" s="51" t="s">
        <v>338</v>
      </c>
      <c r="D52" s="51" t="s">
        <v>339</v>
      </c>
      <c r="E52" s="51" t="s">
        <v>343</v>
      </c>
      <c r="F52" s="51"/>
      <c r="G52" s="51" t="s">
        <v>4</v>
      </c>
      <c r="H52" s="51"/>
      <c r="I52" s="51"/>
      <c r="J52" s="51"/>
      <c r="K52" s="51"/>
      <c r="L52" s="51"/>
      <c r="M52" s="51"/>
    </row>
    <row r="53" spans="1:13" ht="30">
      <c r="A53" s="51" t="s">
        <v>341</v>
      </c>
      <c r="B53" s="51" t="s">
        <v>345</v>
      </c>
      <c r="C53" s="51" t="s">
        <v>346</v>
      </c>
      <c r="D53" s="51" t="s">
        <v>339</v>
      </c>
      <c r="E53" s="52" t="s">
        <v>347</v>
      </c>
      <c r="F53" s="51"/>
      <c r="G53" s="51" t="s">
        <v>4</v>
      </c>
      <c r="H53" s="51"/>
      <c r="I53" s="51"/>
      <c r="J53" s="51"/>
      <c r="K53" s="51"/>
      <c r="L53" s="51"/>
      <c r="M53" s="51"/>
    </row>
    <row r="54" spans="1:13" ht="30">
      <c r="A54" s="51" t="s">
        <v>344</v>
      </c>
      <c r="B54" s="51" t="s">
        <v>349</v>
      </c>
      <c r="C54" s="51" t="s">
        <v>350</v>
      </c>
      <c r="D54" s="52" t="s">
        <v>351</v>
      </c>
      <c r="E54" s="52" t="s">
        <v>352</v>
      </c>
      <c r="F54" s="51"/>
      <c r="G54" s="51" t="s">
        <v>4</v>
      </c>
      <c r="H54" s="51"/>
      <c r="I54" s="51"/>
      <c r="J54" s="51"/>
      <c r="K54" s="51"/>
      <c r="L54" s="51"/>
      <c r="M54" s="51"/>
    </row>
    <row r="55" spans="1:13" ht="30">
      <c r="A55" s="51" t="s">
        <v>348</v>
      </c>
      <c r="B55" s="51" t="s">
        <v>354</v>
      </c>
      <c r="C55" s="51"/>
      <c r="D55" s="51" t="s">
        <v>355</v>
      </c>
      <c r="E55" s="52" t="s">
        <v>356</v>
      </c>
      <c r="F55" s="51"/>
      <c r="G55" s="51" t="s">
        <v>4</v>
      </c>
      <c r="H55" s="51"/>
      <c r="I55" s="51"/>
      <c r="J55" s="51"/>
      <c r="K55" s="51"/>
      <c r="L55" s="51"/>
      <c r="M55" s="51"/>
    </row>
    <row r="56" spans="1:13" ht="30">
      <c r="A56" s="51" t="s">
        <v>353</v>
      </c>
      <c r="B56" s="51" t="s">
        <v>358</v>
      </c>
      <c r="C56" s="51"/>
      <c r="D56" s="52" t="s">
        <v>359</v>
      </c>
      <c r="E56" s="52" t="s">
        <v>360</v>
      </c>
      <c r="F56" s="51"/>
      <c r="G56" s="51" t="s">
        <v>4</v>
      </c>
      <c r="H56" s="51"/>
      <c r="I56" s="51"/>
      <c r="J56" s="51"/>
      <c r="K56" s="51"/>
      <c r="L56" s="51"/>
      <c r="M56" s="51"/>
    </row>
    <row r="57" spans="1:13" ht="30">
      <c r="A57" s="51" t="s">
        <v>357</v>
      </c>
      <c r="B57" s="51" t="s">
        <v>362</v>
      </c>
      <c r="C57" s="51"/>
      <c r="D57" s="52" t="s">
        <v>363</v>
      </c>
      <c r="E57" s="52" t="s">
        <v>364</v>
      </c>
      <c r="F57" s="51"/>
      <c r="G57" s="51" t="s">
        <v>4</v>
      </c>
      <c r="H57" s="51"/>
      <c r="I57" s="51"/>
      <c r="J57" s="51"/>
      <c r="K57" s="51"/>
      <c r="L57" s="51"/>
      <c r="M57" s="51"/>
    </row>
    <row r="58" spans="1:13" ht="30">
      <c r="A58" s="51" t="s">
        <v>361</v>
      </c>
      <c r="B58" s="51" t="s">
        <v>366</v>
      </c>
      <c r="C58" s="51"/>
      <c r="D58" s="52" t="s">
        <v>367</v>
      </c>
      <c r="E58" s="52" t="s">
        <v>368</v>
      </c>
      <c r="F58" s="51"/>
      <c r="G58" s="51" t="s">
        <v>4</v>
      </c>
      <c r="H58" s="51"/>
      <c r="I58" s="51"/>
      <c r="J58" s="51"/>
      <c r="K58" s="51"/>
      <c r="L58" s="51"/>
      <c r="M58" s="51"/>
    </row>
    <row r="59" spans="1:13">
      <c r="A59" s="51" t="s">
        <v>365</v>
      </c>
      <c r="B59" s="51" t="s">
        <v>369</v>
      </c>
      <c r="C59" s="51" t="s">
        <v>370</v>
      </c>
      <c r="D59" s="51" t="s">
        <v>371</v>
      </c>
      <c r="E59" s="56" t="s">
        <v>372</v>
      </c>
      <c r="F59" s="51"/>
      <c r="G59" s="51" t="s">
        <v>4</v>
      </c>
      <c r="H59" s="51"/>
      <c r="I59" s="51"/>
      <c r="J59" s="51"/>
      <c r="K59" s="51"/>
      <c r="L59" s="51"/>
      <c r="M59" s="51"/>
    </row>
  </sheetData>
  <mergeCells count="4">
    <mergeCell ref="B3:C3"/>
    <mergeCell ref="F4:G4"/>
    <mergeCell ref="F6:G6"/>
    <mergeCell ref="F7:G7"/>
  </mergeCells>
  <phoneticPr fontId="13" type="noConversion"/>
  <dataValidations count="3">
    <dataValidation type="list" allowBlank="1" showErrorMessage="1" sqref="G3" xr:uid="{B581578B-9305-4AF8-B8F1-FF5EDF139B30}">
      <formula1>$L$2:$L$6</formula1>
    </dataValidation>
    <dataValidation type="list" allowBlank="1" showErrorMessage="1" sqref="G2" xr:uid="{9DA9FE63-00DD-4E5F-A852-936D4C886B31}">
      <formula1>$L$2:$L$7</formula1>
    </dataValidation>
    <dataValidation type="list" allowBlank="1" showInputMessage="1" showErrorMessage="1" sqref="G13:G59" xr:uid="{CE88381B-36C9-4FCE-BFE0-7C22643F1B9C}">
      <formula1>$M$4:$M$7</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TC_AddToCart</vt:lpstr>
      <vt:lpstr>TC_Cart</vt:lpstr>
      <vt:lpstr>TC_CheckOut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Tien Nguyen Ngoc</dc:creator>
  <cp:lastModifiedBy>Thuy Tien Nguyen Ngoc</cp:lastModifiedBy>
  <dcterms:created xsi:type="dcterms:W3CDTF">2025-09-23T13:21:31Z</dcterms:created>
  <dcterms:modified xsi:type="dcterms:W3CDTF">2025-09-23T14:05:58Z</dcterms:modified>
</cp:coreProperties>
</file>